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asmindeguzman/Library/Mobile Documents/com~apple~CloudDocs/1 UH MBA/620 Micro and Macro Economoics/GitHub/"/>
    </mc:Choice>
  </mc:AlternateContent>
  <xr:revisionPtr revIDLastSave="0" documentId="8_{BAEA7254-428F-8D4D-A510-441B9C1B62EE}" xr6:coauthVersionLast="47" xr6:coauthVersionMax="47" xr10:uidLastSave="{00000000-0000-0000-0000-000000000000}"/>
  <bookViews>
    <workbookView xWindow="5040" yWindow="660" windowWidth="23140" windowHeight="18460" tabRatio="500" activeTab="2" xr2:uid="{00000000-000D-0000-FFFF-FFFF00000000}"/>
  </bookViews>
  <sheets>
    <sheet name="Inputs" sheetId="1" r:id="rId1"/>
    <sheet name="Optimization" sheetId="2" r:id="rId2"/>
    <sheet name="Marginal-Cost Schedules" sheetId="3" r:id="rId3"/>
    <sheet name="Checks" sheetId="4" r:id="rId4"/>
  </sheets>
  <definedNames>
    <definedName name="BLENDED_RATE">Optimization!$B$21</definedName>
    <definedName name="CAR_DIM_RET">Inputs!$B$13</definedName>
    <definedName name="CAR_FERT">Inputs!$B$12</definedName>
    <definedName name="CAR_FERT_COST">Optimization!$B$29</definedName>
    <definedName name="CAR_HRS_PER_BED">Inputs!$B$11</definedName>
    <definedName name="CAR_LABOR_HRS">Optimization!$B$10</definedName>
    <definedName name="CAR_MAX_BEDS">Inputs!$B$9</definedName>
    <definedName name="CAR_PRICE">Inputs!$B$10</definedName>
    <definedName name="CAR_REVENUE">Optimization!$B$25</definedName>
    <definedName name="CHECK_CAR_CAP">Optimization!$B$43</definedName>
    <definedName name="CHECK_MES_CAP">Optimization!$B$44</definedName>
    <definedName name="CHECK_NONNEG_INT">Optimization!$B$47</definedName>
    <definedName name="CHECK_TOM_CAP">Optimization!$B$42</definedName>
    <definedName name="CHECK_TOTAL_BEDS">Optimization!$B$45</definedName>
    <definedName name="CHECK_WORKERS">Optimization!$B$46</definedName>
    <definedName name="FARM_AVAIL_HRS">Inputs!$B$23</definedName>
    <definedName name="FARM_HRS_USED">Optimization!$B$15</definedName>
    <definedName name="FARM_RATE">Optimization!$B$18</definedName>
    <definedName name="FARM_SEAS_SAL">Inputs!$B$22</definedName>
    <definedName name="FARM_SHARE_FIELD_TIME">Inputs!$B$24</definedName>
    <definedName name="FIX_SEAS_COST">Inputs!$B$21</definedName>
    <definedName name="MARGINAL_COST_CAR">Optimization!$B$38</definedName>
    <definedName name="MARGINAL_COST_MES">Optimization!$B$39</definedName>
    <definedName name="MARGINAL_COST_TOM">Optimization!$B$37</definedName>
    <definedName name="MAX_TEMP_WORK">Inputs!$B$27</definedName>
    <definedName name="MES_DIM_RET">Inputs!$B$18</definedName>
    <definedName name="MES_FERT">Inputs!$B$17</definedName>
    <definedName name="MES_FERT_COST">Optimization!$B$30</definedName>
    <definedName name="MES_HRS_PER_BED">Inputs!$B$16</definedName>
    <definedName name="MES_LABOR_HRS">Optimization!$B$11</definedName>
    <definedName name="MES_MAX_BEDS">Inputs!$B$14</definedName>
    <definedName name="MES_PRICE">Inputs!$B$15</definedName>
    <definedName name="MES_REVENUE">Optimization!$B$26</definedName>
    <definedName name="OPT_CAR_BEDS">Optimization!$B$5</definedName>
    <definedName name="OPT_MES_BEDS">Optimization!$B$6</definedName>
    <definedName name="OPT_TOM_BEDS">Optimization!$B$4</definedName>
    <definedName name="PROFIT">Optimization!$B$33</definedName>
    <definedName name="REQ_WORKER">Optimization!$B$17</definedName>
    <definedName name="solver_adj" localSheetId="1" hidden="1">Optimization!$B$4:$B$6</definedName>
    <definedName name="solver_cvg" localSheetId="1" hidden="1">0.0001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itr" localSheetId="1" hidden="1">2147483647</definedName>
    <definedName name="solver_lhs1" localSheetId="1" hidden="1">Optimization!$B$4:$B$6</definedName>
    <definedName name="solver_lhs2" localSheetId="1" hidden="1">Optimization!$B$5</definedName>
    <definedName name="solver_lhs3" localSheetId="1" hidden="1">Optimization!$B$6</definedName>
    <definedName name="solver_lhs4" localSheetId="1" hidden="1">Optimization!$B$4</definedName>
    <definedName name="solver_lhs5" localSheetId="1" hidden="1">Optimization!$B$17</definedName>
    <definedName name="solver_lhs6" localSheetId="1" hidden="1">Optimization!$B$34</definedName>
    <definedName name="solver_lhs7" localSheetId="1" hidden="1">Optimization!$B$34</definedName>
    <definedName name="solver_lin" localSheetId="0" hidden="1">2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6</definedName>
    <definedName name="solver_opt" localSheetId="0" hidden="1">Inputs!$A$1</definedName>
    <definedName name="solver_opt" localSheetId="1" hidden="1">Optimization!$B$33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el6" localSheetId="1" hidden="1">3</definedName>
    <definedName name="solver_rel7" localSheetId="1" hidden="1">3</definedName>
    <definedName name="solver_rhs1" localSheetId="1" hidden="1">"integer"</definedName>
    <definedName name="solver_rhs2" localSheetId="1" hidden="1">20</definedName>
    <definedName name="solver_rhs3" localSheetId="1" hidden="1">30</definedName>
    <definedName name="solver_rhs4" localSheetId="1" hidden="1">20</definedName>
    <definedName name="solver_rhs5" localSheetId="1" hidden="1">4</definedName>
    <definedName name="solver_rhs6" localSheetId="1" hidden="1">0</definedName>
    <definedName name="solver_rhs7" localSheetId="1" hidden="1">0</definedName>
    <definedName name="solver_rlx" localSheetId="1" hidden="1">1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  <definedName name="TEMP_HRS_USED">Optimization!$B$16</definedName>
    <definedName name="TEMP_RATE">Optimization!$B$19</definedName>
    <definedName name="TEMP_WORK_CAP">Inputs!$B$26</definedName>
    <definedName name="TEMP_WORK_SEAS_SAL">Inputs!$B$25</definedName>
    <definedName name="TOM_DIM_RET">Inputs!$B$8</definedName>
    <definedName name="TOM_FERT">Inputs!$B$7</definedName>
    <definedName name="TOM_FERT_COST">Optimization!$B$28</definedName>
    <definedName name="TOM_HRS_PER_BED">Inputs!$B$6</definedName>
    <definedName name="TOM_LABOR_HRS">Optimization!$B$9</definedName>
    <definedName name="TOM_MAX_BEDS">Inputs!$B$4</definedName>
    <definedName name="TOM_PRICE">Inputs!$B$5</definedName>
    <definedName name="TOM_REVENUE">Optimization!$B$24</definedName>
    <definedName name="TOT_BED_CAP">Inputs!$B$20</definedName>
    <definedName name="TOTAL_COST">Optimization!$B$32</definedName>
    <definedName name="TOTAL_FERT_COST">Optimization!$B$31</definedName>
    <definedName name="TOTAL_LABOR_DOLLARS">Optimization!$B$20</definedName>
    <definedName name="TOTAL_LABOR_HRS">Optimization!$B$14</definedName>
    <definedName name="TOTAL_REVENUE">Optimization!$B$27</definedName>
    <definedName name="UNUSED_BEDS">Optimization!$B$34</definedName>
    <definedName name="WEEKS">Inputs!$B$19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7" i="2" l="1"/>
  <c r="B33" i="2"/>
  <c r="C23" i="4"/>
  <c r="D23" i="4" s="1"/>
  <c r="C22" i="4"/>
  <c r="D22" i="4" s="1"/>
  <c r="C21" i="4"/>
  <c r="D21" i="4" s="1"/>
  <c r="B4" i="4"/>
  <c r="B5" i="4" s="1"/>
  <c r="B87" i="3"/>
  <c r="F86" i="3"/>
  <c r="D86" i="3"/>
  <c r="C86" i="3"/>
  <c r="B86" i="3"/>
  <c r="F85" i="3"/>
  <c r="D85" i="3"/>
  <c r="C85" i="3"/>
  <c r="E85" i="3" s="1"/>
  <c r="G85" i="3" s="1"/>
  <c r="B85" i="3"/>
  <c r="F84" i="3"/>
  <c r="C84" i="3"/>
  <c r="B84" i="3"/>
  <c r="D84" i="3" s="1"/>
  <c r="F83" i="3"/>
  <c r="B83" i="3"/>
  <c r="F82" i="3"/>
  <c r="B82" i="3"/>
  <c r="F81" i="3"/>
  <c r="B81" i="3"/>
  <c r="D81" i="3" s="1"/>
  <c r="F80" i="3"/>
  <c r="B80" i="3"/>
  <c r="D80" i="3" s="1"/>
  <c r="F79" i="3"/>
  <c r="D79" i="3"/>
  <c r="B79" i="3"/>
  <c r="C79" i="3" s="1"/>
  <c r="E79" i="3" s="1"/>
  <c r="G79" i="3" s="1"/>
  <c r="F78" i="3"/>
  <c r="D78" i="3"/>
  <c r="E78" i="3" s="1"/>
  <c r="G78" i="3" s="1"/>
  <c r="H78" i="3" s="1"/>
  <c r="C78" i="3"/>
  <c r="B78" i="3"/>
  <c r="F77" i="3"/>
  <c r="D77" i="3"/>
  <c r="C77" i="3"/>
  <c r="E77" i="3" s="1"/>
  <c r="G77" i="3" s="1"/>
  <c r="B77" i="3"/>
  <c r="F76" i="3"/>
  <c r="B76" i="3"/>
  <c r="D76" i="3" s="1"/>
  <c r="F75" i="3"/>
  <c r="B75" i="3"/>
  <c r="D75" i="3" s="1"/>
  <c r="F74" i="3"/>
  <c r="B74" i="3"/>
  <c r="F73" i="3"/>
  <c r="B73" i="3"/>
  <c r="D73" i="3" s="1"/>
  <c r="F72" i="3"/>
  <c r="B72" i="3"/>
  <c r="D72" i="3" s="1"/>
  <c r="F71" i="3"/>
  <c r="D71" i="3"/>
  <c r="B71" i="3"/>
  <c r="C71" i="3" s="1"/>
  <c r="E71" i="3" s="1"/>
  <c r="G71" i="3" s="1"/>
  <c r="F70" i="3"/>
  <c r="D70" i="3"/>
  <c r="C70" i="3"/>
  <c r="B70" i="3"/>
  <c r="F69" i="3"/>
  <c r="D69" i="3"/>
  <c r="E69" i="3" s="1"/>
  <c r="G69" i="3" s="1"/>
  <c r="C69" i="3"/>
  <c r="B69" i="3"/>
  <c r="F68" i="3"/>
  <c r="B68" i="3"/>
  <c r="C68" i="3" s="1"/>
  <c r="F67" i="3"/>
  <c r="C67" i="3"/>
  <c r="E67" i="3" s="1"/>
  <c r="G67" i="3" s="1"/>
  <c r="B67" i="3"/>
  <c r="D67" i="3" s="1"/>
  <c r="F66" i="3"/>
  <c r="B66" i="3"/>
  <c r="F65" i="3"/>
  <c r="B65" i="3"/>
  <c r="D65" i="3" s="1"/>
  <c r="F64" i="3"/>
  <c r="B64" i="3"/>
  <c r="D64" i="3" s="1"/>
  <c r="F63" i="3"/>
  <c r="E63" i="3"/>
  <c r="G63" i="3" s="1"/>
  <c r="D63" i="3"/>
  <c r="B63" i="3"/>
  <c r="C63" i="3" s="1"/>
  <c r="F62" i="3"/>
  <c r="D62" i="3"/>
  <c r="C62" i="3"/>
  <c r="B62" i="3"/>
  <c r="F61" i="3"/>
  <c r="E61" i="3"/>
  <c r="G61" i="3" s="1"/>
  <c r="D61" i="3"/>
  <c r="C61" i="3"/>
  <c r="B61" i="3"/>
  <c r="F60" i="3"/>
  <c r="B60" i="3"/>
  <c r="C60" i="3" s="1"/>
  <c r="F59" i="3"/>
  <c r="C59" i="3"/>
  <c r="B59" i="3"/>
  <c r="D59" i="3" s="1"/>
  <c r="F58" i="3"/>
  <c r="B58" i="3"/>
  <c r="F57" i="3"/>
  <c r="B57" i="3"/>
  <c r="D57" i="3" s="1"/>
  <c r="F56" i="3"/>
  <c r="D56" i="3"/>
  <c r="B56" i="3"/>
  <c r="C56" i="3" s="1"/>
  <c r="E56" i="3" s="1"/>
  <c r="G56" i="3" s="1"/>
  <c r="B52" i="3"/>
  <c r="F51" i="3"/>
  <c r="F50" i="3"/>
  <c r="F49" i="3"/>
  <c r="F48" i="3"/>
  <c r="B48" i="3"/>
  <c r="D48" i="3" s="1"/>
  <c r="F47" i="3"/>
  <c r="B47" i="3"/>
  <c r="D47" i="3" s="1"/>
  <c r="F46" i="3"/>
  <c r="B46" i="3"/>
  <c r="F45" i="3"/>
  <c r="B45" i="3"/>
  <c r="D45" i="3" s="1"/>
  <c r="F44" i="3"/>
  <c r="F43" i="3"/>
  <c r="F42" i="3"/>
  <c r="F41" i="3"/>
  <c r="F40" i="3"/>
  <c r="B40" i="3"/>
  <c r="D40" i="3" s="1"/>
  <c r="F39" i="3"/>
  <c r="C39" i="3"/>
  <c r="B39" i="3"/>
  <c r="D39" i="3" s="1"/>
  <c r="F38" i="3"/>
  <c r="B38" i="3"/>
  <c r="F37" i="3"/>
  <c r="B37" i="3"/>
  <c r="D37" i="3" s="1"/>
  <c r="F36" i="3"/>
  <c r="F35" i="3"/>
  <c r="F34" i="3"/>
  <c r="F33" i="3"/>
  <c r="F32" i="3"/>
  <c r="D32" i="3"/>
  <c r="C32" i="3"/>
  <c r="B32" i="3"/>
  <c r="F31" i="3"/>
  <c r="B31" i="3"/>
  <c r="B27" i="3"/>
  <c r="F26" i="3"/>
  <c r="B26" i="3"/>
  <c r="F25" i="3"/>
  <c r="B25" i="3"/>
  <c r="D25" i="3" s="1"/>
  <c r="F24" i="3"/>
  <c r="B24" i="3"/>
  <c r="D24" i="3" s="1"/>
  <c r="F23" i="3"/>
  <c r="D23" i="3"/>
  <c r="B23" i="3"/>
  <c r="C23" i="3" s="1"/>
  <c r="E23" i="3" s="1"/>
  <c r="G23" i="3" s="1"/>
  <c r="H23" i="3" s="1"/>
  <c r="F22" i="3"/>
  <c r="E22" i="3"/>
  <c r="G22" i="3" s="1"/>
  <c r="D22" i="3"/>
  <c r="C22" i="3"/>
  <c r="B22" i="3"/>
  <c r="F21" i="3"/>
  <c r="D21" i="3"/>
  <c r="C21" i="3"/>
  <c r="E21" i="3" s="1"/>
  <c r="G21" i="3" s="1"/>
  <c r="B21" i="3"/>
  <c r="F20" i="3"/>
  <c r="B20" i="3"/>
  <c r="D20" i="3" s="1"/>
  <c r="F19" i="3"/>
  <c r="D19" i="3"/>
  <c r="C19" i="3"/>
  <c r="E19" i="3" s="1"/>
  <c r="G19" i="3" s="1"/>
  <c r="B19" i="3"/>
  <c r="F18" i="3"/>
  <c r="B18" i="3"/>
  <c r="D18" i="3" s="1"/>
  <c r="F17" i="3"/>
  <c r="B17" i="3"/>
  <c r="F16" i="3"/>
  <c r="B16" i="3"/>
  <c r="D16" i="3" s="1"/>
  <c r="F15" i="3"/>
  <c r="B15" i="3"/>
  <c r="D15" i="3" s="1"/>
  <c r="F14" i="3"/>
  <c r="D14" i="3"/>
  <c r="E14" i="3" s="1"/>
  <c r="G14" i="3" s="1"/>
  <c r="C14" i="3"/>
  <c r="B14" i="3"/>
  <c r="F13" i="3"/>
  <c r="D13" i="3"/>
  <c r="C13" i="3"/>
  <c r="B13" i="3"/>
  <c r="F12" i="3"/>
  <c r="D12" i="3"/>
  <c r="B12" i="3"/>
  <c r="C12" i="3" s="1"/>
  <c r="E12" i="3" s="1"/>
  <c r="G12" i="3" s="1"/>
  <c r="F11" i="3"/>
  <c r="B11" i="3"/>
  <c r="C11" i="3" s="1"/>
  <c r="F10" i="3"/>
  <c r="B10" i="3"/>
  <c r="D10" i="3" s="1"/>
  <c r="F9" i="3"/>
  <c r="B9" i="3"/>
  <c r="F8" i="3"/>
  <c r="B8" i="3"/>
  <c r="D8" i="3" s="1"/>
  <c r="F7" i="3"/>
  <c r="B7" i="3"/>
  <c r="D7" i="3" s="1"/>
  <c r="F6" i="3"/>
  <c r="D6" i="3"/>
  <c r="E6" i="3" s="1"/>
  <c r="G6" i="3" s="1"/>
  <c r="C6" i="3"/>
  <c r="B6" i="3"/>
  <c r="B45" i="2"/>
  <c r="B44" i="2"/>
  <c r="B43" i="2"/>
  <c r="B42" i="2"/>
  <c r="B34" i="2"/>
  <c r="B30" i="2"/>
  <c r="B29" i="2"/>
  <c r="B28" i="2"/>
  <c r="B26" i="2"/>
  <c r="B25" i="2"/>
  <c r="B24" i="2"/>
  <c r="B19" i="2"/>
  <c r="E86" i="3" s="1"/>
  <c r="G86" i="3" s="1"/>
  <c r="B18" i="2"/>
  <c r="B11" i="2"/>
  <c r="B10" i="2"/>
  <c r="B9" i="2"/>
  <c r="B11" i="1"/>
  <c r="B49" i="3" s="1"/>
  <c r="C49" i="3" s="1"/>
  <c r="B27" i="2" l="1"/>
  <c r="B31" i="2"/>
  <c r="B14" i="2"/>
  <c r="B15" i="2" s="1"/>
  <c r="E49" i="3"/>
  <c r="G49" i="3" s="1"/>
  <c r="H63" i="3"/>
  <c r="H12" i="3"/>
  <c r="H79" i="3"/>
  <c r="E68" i="3"/>
  <c r="G68" i="3" s="1"/>
  <c r="H68" i="3" s="1"/>
  <c r="H77" i="3"/>
  <c r="E11" i="3"/>
  <c r="G11" i="3" s="1"/>
  <c r="H11" i="3" s="1"/>
  <c r="H14" i="3"/>
  <c r="D49" i="3"/>
  <c r="C40" i="3"/>
  <c r="E40" i="3" s="1"/>
  <c r="G40" i="3" s="1"/>
  <c r="C47" i="3"/>
  <c r="E47" i="3" s="1"/>
  <c r="G47" i="3" s="1"/>
  <c r="H47" i="3" s="1"/>
  <c r="D9" i="3"/>
  <c r="C9" i="3"/>
  <c r="E9" i="3" s="1"/>
  <c r="G9" i="3" s="1"/>
  <c r="H9" i="3" s="1"/>
  <c r="D83" i="3"/>
  <c r="C83" i="3"/>
  <c r="D31" i="3"/>
  <c r="C31" i="3"/>
  <c r="E31" i="3" s="1"/>
  <c r="G31" i="3" s="1"/>
  <c r="D60" i="3"/>
  <c r="E60" i="3" s="1"/>
  <c r="G60" i="3" s="1"/>
  <c r="D11" i="3"/>
  <c r="C18" i="3"/>
  <c r="E18" i="3" s="1"/>
  <c r="G18" i="3" s="1"/>
  <c r="H18" i="3" s="1"/>
  <c r="C20" i="3"/>
  <c r="E20" i="3" s="1"/>
  <c r="G20" i="3" s="1"/>
  <c r="H20" i="3" s="1"/>
  <c r="C48" i="3"/>
  <c r="E48" i="3" s="1"/>
  <c r="G48" i="3" s="1"/>
  <c r="H48" i="3" s="1"/>
  <c r="D66" i="3"/>
  <c r="C66" i="3"/>
  <c r="D68" i="3"/>
  <c r="C76" i="3"/>
  <c r="E76" i="3" s="1"/>
  <c r="G76" i="3" s="1"/>
  <c r="H22" i="3"/>
  <c r="D38" i="3"/>
  <c r="C38" i="3"/>
  <c r="E38" i="3" s="1"/>
  <c r="G38" i="3" s="1"/>
  <c r="H38" i="3" s="1"/>
  <c r="D58" i="3"/>
  <c r="C58" i="3"/>
  <c r="D46" i="3"/>
  <c r="C46" i="3"/>
  <c r="E46" i="3" s="1"/>
  <c r="G46" i="3" s="1"/>
  <c r="E62" i="3"/>
  <c r="G62" i="3" s="1"/>
  <c r="H62" i="3" s="1"/>
  <c r="D74" i="3"/>
  <c r="C74" i="3"/>
  <c r="E74" i="3" s="1"/>
  <c r="G74" i="3" s="1"/>
  <c r="E84" i="3"/>
  <c r="G84" i="3" s="1"/>
  <c r="C75" i="3"/>
  <c r="E75" i="3" s="1"/>
  <c r="G75" i="3" s="1"/>
  <c r="E13" i="3"/>
  <c r="G13" i="3" s="1"/>
  <c r="H13" i="3" s="1"/>
  <c r="E32" i="3"/>
  <c r="G32" i="3" s="1"/>
  <c r="H32" i="3" s="1"/>
  <c r="E39" i="3"/>
  <c r="G39" i="3" s="1"/>
  <c r="E70" i="3"/>
  <c r="G70" i="3" s="1"/>
  <c r="H70" i="3" s="1"/>
  <c r="H19" i="3"/>
  <c r="H86" i="3"/>
  <c r="C10" i="3"/>
  <c r="E10" i="3" s="1"/>
  <c r="G10" i="3" s="1"/>
  <c r="D17" i="3"/>
  <c r="C17" i="3"/>
  <c r="E17" i="3" s="1"/>
  <c r="G17" i="3" s="1"/>
  <c r="D26" i="3"/>
  <c r="C26" i="3"/>
  <c r="E26" i="3" s="1"/>
  <c r="G26" i="3" s="1"/>
  <c r="E59" i="3"/>
  <c r="G59" i="3" s="1"/>
  <c r="D82" i="3"/>
  <c r="C82" i="3"/>
  <c r="E82" i="3" s="1"/>
  <c r="G82" i="3" s="1"/>
  <c r="H82" i="3" s="1"/>
  <c r="C25" i="3"/>
  <c r="E25" i="3" s="1"/>
  <c r="G25" i="3" s="1"/>
  <c r="H25" i="3" s="1"/>
  <c r="B36" i="3"/>
  <c r="C37" i="3"/>
  <c r="E37" i="3" s="1"/>
  <c r="G37" i="3" s="1"/>
  <c r="B44" i="3"/>
  <c r="C45" i="3"/>
  <c r="E45" i="3" s="1"/>
  <c r="G45" i="3" s="1"/>
  <c r="C57" i="3"/>
  <c r="E57" i="3" s="1"/>
  <c r="G57" i="3" s="1"/>
  <c r="H57" i="3" s="1"/>
  <c r="C65" i="3"/>
  <c r="E65" i="3" s="1"/>
  <c r="G65" i="3" s="1"/>
  <c r="C73" i="3"/>
  <c r="E73" i="3" s="1"/>
  <c r="G73" i="3" s="1"/>
  <c r="H73" i="3" s="1"/>
  <c r="C81" i="3"/>
  <c r="E81" i="3" s="1"/>
  <c r="G81" i="3" s="1"/>
  <c r="H81" i="3" s="1"/>
  <c r="C8" i="3"/>
  <c r="E8" i="3" s="1"/>
  <c r="G8" i="3" s="1"/>
  <c r="C16" i="3"/>
  <c r="E16" i="3" s="1"/>
  <c r="G16" i="3" s="1"/>
  <c r="C24" i="3"/>
  <c r="E24" i="3" s="1"/>
  <c r="G24" i="3" s="1"/>
  <c r="H24" i="3" s="1"/>
  <c r="B35" i="3"/>
  <c r="B43" i="3"/>
  <c r="B51" i="3"/>
  <c r="C64" i="3"/>
  <c r="E64" i="3" s="1"/>
  <c r="G64" i="3" s="1"/>
  <c r="H64" i="3" s="1"/>
  <c r="C72" i="3"/>
  <c r="E72" i="3" s="1"/>
  <c r="G72" i="3" s="1"/>
  <c r="H72" i="3" s="1"/>
  <c r="C80" i="3"/>
  <c r="E80" i="3" s="1"/>
  <c r="G80" i="3" s="1"/>
  <c r="H80" i="3" s="1"/>
  <c r="C7" i="3"/>
  <c r="E7" i="3" s="1"/>
  <c r="G7" i="3" s="1"/>
  <c r="H7" i="3" s="1"/>
  <c r="C15" i="3"/>
  <c r="E15" i="3" s="1"/>
  <c r="G15" i="3" s="1"/>
  <c r="H15" i="3" s="1"/>
  <c r="B34" i="3"/>
  <c r="B42" i="3"/>
  <c r="B50" i="3"/>
  <c r="B33" i="3"/>
  <c r="B41" i="3"/>
  <c r="B16" i="2" l="1"/>
  <c r="B17" i="2" s="1"/>
  <c r="B46" i="2" s="1"/>
  <c r="H60" i="3"/>
  <c r="H61" i="3"/>
  <c r="D33" i="3"/>
  <c r="C33" i="3"/>
  <c r="E33" i="3" s="1"/>
  <c r="G33" i="3" s="1"/>
  <c r="H33" i="3" s="1"/>
  <c r="H84" i="3"/>
  <c r="D41" i="3"/>
  <c r="C41" i="3"/>
  <c r="E41" i="3" s="1"/>
  <c r="G41" i="3" s="1"/>
  <c r="H41" i="3" s="1"/>
  <c r="H10" i="3"/>
  <c r="H75" i="3"/>
  <c r="E83" i="3"/>
  <c r="G83" i="3" s="1"/>
  <c r="H83" i="3" s="1"/>
  <c r="H21" i="3"/>
  <c r="C42" i="3"/>
  <c r="D42" i="3"/>
  <c r="C50" i="3"/>
  <c r="D50" i="3"/>
  <c r="H74" i="3"/>
  <c r="D43" i="3"/>
  <c r="C43" i="3"/>
  <c r="E43" i="3" s="1"/>
  <c r="G43" i="3" s="1"/>
  <c r="D35" i="3"/>
  <c r="C35" i="3"/>
  <c r="E35" i="3" s="1"/>
  <c r="G35" i="3" s="1"/>
  <c r="D44" i="3"/>
  <c r="C44" i="3"/>
  <c r="E44" i="3" s="1"/>
  <c r="G44" i="3" s="1"/>
  <c r="H44" i="3" s="1"/>
  <c r="H39" i="3"/>
  <c r="H46" i="3"/>
  <c r="H76" i="3"/>
  <c r="H40" i="3"/>
  <c r="H49" i="3"/>
  <c r="D51" i="3"/>
  <c r="C51" i="3"/>
  <c r="E51" i="3" s="1"/>
  <c r="G51" i="3" s="1"/>
  <c r="H59" i="3"/>
  <c r="H45" i="3"/>
  <c r="H16" i="3"/>
  <c r="H17" i="3"/>
  <c r="H85" i="3"/>
  <c r="H71" i="3"/>
  <c r="H65" i="3"/>
  <c r="C34" i="3"/>
  <c r="D34" i="3"/>
  <c r="H26" i="3"/>
  <c r="H8" i="3"/>
  <c r="D36" i="3"/>
  <c r="C36" i="3"/>
  <c r="E36" i="3" s="1"/>
  <c r="G36" i="3" s="1"/>
  <c r="H36" i="3" s="1"/>
  <c r="E58" i="3"/>
  <c r="G58" i="3" s="1"/>
  <c r="H58" i="3" s="1"/>
  <c r="E66" i="3"/>
  <c r="G66" i="3" s="1"/>
  <c r="H69" i="3"/>
  <c r="B20" i="2" l="1"/>
  <c r="B21" i="2" s="1"/>
  <c r="H66" i="3"/>
  <c r="H67" i="3"/>
  <c r="E42" i="3"/>
  <c r="G42" i="3" s="1"/>
  <c r="H42" i="3" s="1"/>
  <c r="E34" i="3"/>
  <c r="G34" i="3" s="1"/>
  <c r="H34" i="3" s="1"/>
  <c r="E50" i="3"/>
  <c r="G50" i="3" s="1"/>
  <c r="H50" i="3" s="1"/>
  <c r="H51" i="3"/>
  <c r="H35" i="3"/>
  <c r="H43" i="3"/>
  <c r="H37" i="3"/>
  <c r="B32" i="2" l="1"/>
  <c r="B38" i="2" s="1"/>
  <c r="B39" i="2" l="1"/>
  <c r="C24" i="4"/>
  <c r="D24" i="4" s="1"/>
  <c r="B37" i="2"/>
</calcChain>
</file>

<file path=xl/sharedStrings.xml><?xml version="1.0" encoding="utf-8"?>
<sst xmlns="http://schemas.openxmlformats.org/spreadsheetml/2006/main" count="199" uniqueCount="142">
  <si>
    <t>Inputs — the named contract</t>
  </si>
  <si>
    <t>Name</t>
  </si>
  <si>
    <t>Value</t>
  </si>
  <si>
    <t>Unit</t>
  </si>
  <si>
    <t>Source</t>
  </si>
  <si>
    <t>TOM_MAX_BEDS</t>
  </si>
  <si>
    <t>tomato beds</t>
  </si>
  <si>
    <t>Case scenario, crop table</t>
  </si>
  <si>
    <t>TOM_PRICE</t>
  </si>
  <si>
    <t>USD per bed</t>
  </si>
  <si>
    <t>TOM_HRS_PER_BED</t>
  </si>
  <si>
    <t>hours per week per bed</t>
  </si>
  <si>
    <t>TOM_FERT</t>
  </si>
  <si>
    <t>TOM_DIM_RET</t>
  </si>
  <si>
    <t>labor-increase rate per additional tomato bed</t>
  </si>
  <si>
    <t>CAR_MAX_BEDS</t>
  </si>
  <si>
    <t>carrot beds</t>
  </si>
  <si>
    <t>CAR_PRICE</t>
  </si>
  <si>
    <t>CAR_HRS_PER_BED</t>
  </si>
  <si>
    <t>CAR_FERT</t>
  </si>
  <si>
    <t>CAR_DIM_RET</t>
  </si>
  <si>
    <t>labor-increase rate per additional carrot bed</t>
  </si>
  <si>
    <t>MES_MAX_BEDS</t>
  </si>
  <si>
    <t>mesclun beds</t>
  </si>
  <si>
    <t>MES_PRICE</t>
  </si>
  <si>
    <t>MES_HRS_PER_BED</t>
  </si>
  <si>
    <t>MES_FERT</t>
  </si>
  <si>
    <t>MES_DIM_RET</t>
  </si>
  <si>
    <t>labor-increase rate per additional mesclun bed</t>
  </si>
  <si>
    <t>WEEKS</t>
  </si>
  <si>
    <t>weeks per season</t>
  </si>
  <si>
    <t>Case scenario, slide 4</t>
  </si>
  <si>
    <t>TOT_BED_CAP</t>
  </si>
  <si>
    <t>beds</t>
  </si>
  <si>
    <t>FIX_SEAS_COST</t>
  </si>
  <si>
    <t>USD</t>
  </si>
  <si>
    <t>FARM_SEAS_SAL</t>
  </si>
  <si>
    <t>FARM_AVAIL_HRS</t>
  </si>
  <si>
    <t>hours</t>
  </si>
  <si>
    <t>FARM_SHARE_FIELD_TIME</t>
  </si>
  <si>
    <t>share of time in the field</t>
  </si>
  <si>
    <t>TEMP_WORK_SEAS_SAL</t>
  </si>
  <si>
    <t>USD per worker</t>
  </si>
  <si>
    <t>TEMP_WORK_CAP</t>
  </si>
  <si>
    <t>hours per worker</t>
  </si>
  <si>
    <t>MAX_TEMP_WORK</t>
  </si>
  <si>
    <t>persons</t>
  </si>
  <si>
    <t>CAR_HRS_PER_BED is stored as the formula 2.5/3 rather than the rounded decimal 0.833, per Stage 1.2 review — typed rounding shifts season profit by enough to fail the check-figure tolerance.</t>
  </si>
  <si>
    <t>Optimization — decision cells and season P&amp;L</t>
  </si>
  <si>
    <t>Decision variables (Solver changes these three cells)</t>
  </si>
  <si>
    <t>OPT_TOM_BEDS</t>
  </si>
  <si>
    <t>OPT_CAR_BEDS</t>
  </si>
  <si>
    <t>OPT_MES_BEDS</t>
  </si>
  <si>
    <t>Per-crop labor hours</t>
  </si>
  <si>
    <t>TOM_LABOR_HRS</t>
  </si>
  <si>
    <t>CAR_LABOR_HRS</t>
  </si>
  <si>
    <t>MES_LABOR_HRS</t>
  </si>
  <si>
    <t>Farm-wide labor totals and blended rate</t>
  </si>
  <si>
    <t>TOTAL_LABOR_HRS</t>
  </si>
  <si>
    <t>FARM_HRS_USED</t>
  </si>
  <si>
    <t>TEMP_HRS_USED</t>
  </si>
  <si>
    <t>REQ_WORKER</t>
  </si>
  <si>
    <t>FARM_RATE</t>
  </si>
  <si>
    <t>TEMP_RATE</t>
  </si>
  <si>
    <t>TOTAL_LABOR_DOLLARS</t>
  </si>
  <si>
    <t>BLENDED_RATE</t>
  </si>
  <si>
    <t>Revenue, fertilizer cost, totals, profit</t>
  </si>
  <si>
    <t>TOM_REVENUE</t>
  </si>
  <si>
    <t>CAR_REVENUE</t>
  </si>
  <si>
    <t>MES_REVENUE</t>
  </si>
  <si>
    <t>TOTAL_REVENUE</t>
  </si>
  <si>
    <t>TOM_FERT_COST</t>
  </si>
  <si>
    <t>CAR_FERT_COST</t>
  </si>
  <si>
    <t>MES_FERT_COST</t>
  </si>
  <si>
    <t>TOTAL_FERT_COST</t>
  </si>
  <si>
    <t>TOTAL_COST</t>
  </si>
  <si>
    <t>PROFIT</t>
  </si>
  <si>
    <t>UNUSED_BEDS</t>
  </si>
  <si>
    <t>Marginal cost (this crop, one bed more, others held fixed at their current decision-cell values)</t>
  </si>
  <si>
    <t>MARGINAL_COST_TOM</t>
  </si>
  <si>
    <t>MARGINAL_COST_CAR</t>
  </si>
  <si>
    <t>MARGINAL_COST_MES</t>
  </si>
  <si>
    <t>Constraint checks — human-readable summary only (do NOT feed these boolean cells to Solver directly; see the numeric constraint list below instead)</t>
  </si>
  <si>
    <t>CHECK_TOM_CAP</t>
  </si>
  <si>
    <t>CHECK_CAR_CAP</t>
  </si>
  <si>
    <t>CHECK_MES_CAP</t>
  </si>
  <si>
    <t>CHECK_TOTAL_BEDS</t>
  </si>
  <si>
    <t>CHECK_WORKERS</t>
  </si>
  <si>
    <t>CHECK_NONNEG_INT</t>
  </si>
  <si>
    <t>SOLVER SETUP — use these exact numeric constraints, not the boolean CHECK_* cells above (booleans can crash GRG Nonlinear's line search): Set Objective: PROFIT (Max). By Changing: OPT_TOM_BEDS, OPT_CAR_BEDS, OPT_MES_BEDS. Constraints: OPT_TOM_BEDS&lt;=TOM_MAX_BEDS; OPT_CAR_BEDS&lt;=CAR_MAX_BEDS; OPT_MES_BEDS&lt;=MES_MAX_BEDS; UNUSED_BEDS&gt;=0; REQ_WORKER&lt;=MAX_TEMP_WORK; OPT_TOM_BEDS, OPT_CAR_BEDS, OPT_MES_BEDS = integer. Check 'Make Unconstrained Variables Non-Negative.' Method: GRG Nonlinear. Run once from 0/0/0 and once from 20/0/0; record both in the Checks sheet.</t>
  </si>
  <si>
    <t>Marginal-Cost Schedules — standalone (other two crops held at zero)</t>
  </si>
  <si>
    <t>Each table below plants only that crop (the other two at zero beds) and walks q from 0 to its bed cap, so the marginal-cost column shows where standalone price crosses standalone marginal cost — the P ≈ MC check.</t>
  </si>
  <si>
    <t>Tomatoes — standalone schedule</t>
  </si>
  <si>
    <t>q</t>
  </si>
  <si>
    <t>Labor hrs(q)</t>
  </si>
  <si>
    <t>Farm hrs used</t>
  </si>
  <si>
    <t>Temp hrs used</t>
  </si>
  <si>
    <t>Labor $</t>
  </si>
  <si>
    <t>Fert $</t>
  </si>
  <si>
    <t>Total var cost</t>
  </si>
  <si>
    <t>Marginal cost</t>
  </si>
  <si>
    <t>Price ($/bed):</t>
  </si>
  <si>
    <t>Standalone P ≈ MC crossing: the first q where column H rises to meet or pass the price above.</t>
  </si>
  <si>
    <t>Carrots — standalone schedule</t>
  </si>
  <si>
    <t>Mesclun — standalone schedule</t>
  </si>
  <si>
    <t>Checks — validation rules from spec.md</t>
  </si>
  <si>
    <t>1. q = 1 hand check (tomatoes)</t>
  </si>
  <si>
    <t>Formula result: 1 × TOM_HRS_PER_BED × WEEKS × (1+TOM_DIM_RET)^1</t>
  </si>
  <si>
    <t>Expected: 99.00</t>
  </si>
  <si>
    <t>Pass? (within 0.01 hr)</t>
  </si>
  <si>
    <t>2. Cross-check against the Farm Profit Lab</t>
  </si>
  <si>
    <t>Intermediate marginal cost compared (e.g., tomato MC at a mid-range bed count):</t>
  </si>
  <si>
    <t>This workbook's value:</t>
  </si>
  <si>
    <t>[fill in from Marginal-Cost Schedules sheet]</t>
  </si>
  <si>
    <t>Farm Profit Lab value:</t>
  </si>
  <si>
    <t>[fill in after checking farmlab.html]</t>
  </si>
  <si>
    <t>Agree within tolerance?</t>
  </si>
  <si>
    <t>[fill in]</t>
  </si>
  <si>
    <t>3. Solver run from two starting points</t>
  </si>
  <si>
    <t>Tomato</t>
  </si>
  <si>
    <t>Carrot</t>
  </si>
  <si>
    <t>Mesclun</t>
  </si>
  <si>
    <t>Profit</t>
  </si>
  <si>
    <t>Run 1 — start 0/0/0</t>
  </si>
  <si>
    <t>[fill in after running Solver]</t>
  </si>
  <si>
    <t>Run 2 — start 20/0/0</t>
  </si>
  <si>
    <t>Path-dependence noted?</t>
  </si>
  <si>
    <t>[Yes/No — note here if the two runs disagree]</t>
  </si>
  <si>
    <t>4. Published check figures</t>
  </si>
  <si>
    <t>Check</t>
  </si>
  <si>
    <t>Published value</t>
  </si>
  <si>
    <t>This workbook</t>
  </si>
  <si>
    <t>Match?</t>
  </si>
  <si>
    <t>Optimal tomato beds</t>
  </si>
  <si>
    <t>Optimal carrot beds</t>
  </si>
  <si>
    <t>Optimal mesclun beds</t>
  </si>
  <si>
    <t>Season profit</t>
  </si>
  <si>
    <t>Standalone P ≈ MC crossings — see Marginal-Cost Schedules sheet: published ≈ 10 tomato beds, ≈ 10 carrot beds, ≈ 6 mesclun beds.</t>
  </si>
  <si>
    <t>5. Formulas, not pasted values</t>
  </si>
  <si>
    <t>Spot-check: click any calculated cell on Optimization or Marginal-Cost Schedules and confirm the formula bar shows a formula referencing named inputs, not a typed number.</t>
  </si>
  <si>
    <t>Tomato marginal-cost dip</t>
  </si>
  <si>
    <t>Noted: standalone tomato marginal cost dips rather than rising smoothly around bed 6 (see Marginal-Cost Schedules). Not explained here — reserved for Stage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</si>
</sst>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##"/>
    <numFmt numFmtId="165" formatCode="\$#,##0"/>
    <numFmt numFmtId="166" formatCode="\$#,##0.0000"/>
    <numFmt numFmtId="167" formatCode="\$#,##0.00"/>
  </numFmts>
  <fonts count="11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i/>
      <sz val="11"/>
      <name val="Arial"/>
      <family val="2"/>
    </font>
    <font>
      <sz val="9"/>
      <color rgb="FF808080"/>
      <name val="Arial"/>
      <family val="2"/>
    </font>
    <font>
      <sz val="11"/>
      <color rgb="FF000000"/>
      <name val="Arial"/>
      <family val="2"/>
    </font>
    <font>
      <i/>
      <sz val="11"/>
      <color rgb="FF808080"/>
      <name val="Arial"/>
      <family val="2"/>
    </font>
    <font>
      <b/>
      <i/>
      <sz val="11"/>
      <name val="Arial"/>
      <family val="2"/>
    </font>
    <font>
      <b/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8" fillId="0" borderId="0" xfId="0" applyFont="1"/>
    <xf numFmtId="0" fontId="3" fillId="0" borderId="0" xfId="0" applyFont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165" fontId="4" fillId="0" borderId="1" xfId="0" applyNumberFormat="1" applyFont="1" applyBorder="1"/>
    <xf numFmtId="10" fontId="4" fillId="0" borderId="1" xfId="0" applyNumberFormat="1" applyFont="1" applyBorder="1"/>
    <xf numFmtId="164" fontId="7" fillId="0" borderId="1" xfId="0" applyNumberFormat="1" applyFont="1" applyBorder="1"/>
    <xf numFmtId="1" fontId="10" fillId="3" borderId="1" xfId="0" applyNumberFormat="1" applyFont="1" applyFill="1" applyBorder="1"/>
    <xf numFmtId="4" fontId="7" fillId="0" borderId="1" xfId="0" applyNumberFormat="1" applyFont="1" applyBorder="1"/>
    <xf numFmtId="1" fontId="7" fillId="0" borderId="1" xfId="0" applyNumberFormat="1" applyFont="1" applyBorder="1"/>
    <xf numFmtId="166" fontId="7" fillId="0" borderId="1" xfId="0" applyNumberFormat="1" applyFont="1" applyBorder="1"/>
    <xf numFmtId="167" fontId="7" fillId="0" borderId="1" xfId="0" applyNumberFormat="1" applyFont="1" applyBorder="1"/>
    <xf numFmtId="165" fontId="7" fillId="0" borderId="1" xfId="0" applyNumberFormat="1" applyFont="1" applyBorder="1"/>
    <xf numFmtId="0" fontId="7" fillId="0" borderId="1" xfId="0" applyFont="1" applyBorder="1"/>
    <xf numFmtId="0" fontId="5" fillId="0" borderId="0" xfId="0" applyFont="1"/>
    <xf numFmtId="165" fontId="5" fillId="0" borderId="0" xfId="0" applyNumberFormat="1" applyFont="1"/>
    <xf numFmtId="4" fontId="7" fillId="0" borderId="0" xfId="0" applyNumberFormat="1" applyFont="1"/>
    <xf numFmtId="1" fontId="0" fillId="0" borderId="0" xfId="0" applyNumberFormat="1"/>
    <xf numFmtId="1" fontId="7" fillId="0" borderId="0" xfId="0" applyNumberFormat="1" applyFont="1"/>
    <xf numFmtId="165" fontId="0" fillId="0" borderId="0" xfId="0" applyNumberFormat="1"/>
    <xf numFmtId="167" fontId="7" fillId="0" borderId="0" xfId="0" applyNumberFormat="1" applyFont="1"/>
    <xf numFmtId="0" fontId="1" fillId="0" borderId="0" xfId="0" applyFont="1"/>
    <xf numFmtId="0" fontId="9" fillId="0" borderId="0" xfId="0" applyFont="1"/>
    <xf numFmtId="0" fontId="8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Tomato Marginal Cost vs. Market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Tomato Price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'Marginal-Cost Schedules'!$J$7:$J$8</c:f>
              <c:numCache>
                <c:formatCode>General</c:formatCode>
                <c:ptCount val="2"/>
                <c:pt idx="0">
                  <c:v>1</c:v>
                </c:pt>
                <c:pt idx="1">
                  <c:v>20</c:v>
                </c:pt>
              </c:numCache>
            </c:numRef>
          </c:xVal>
          <c:yVal>
            <c:numRef>
              <c:f>'Marginal-Cost Schedules'!$K$7:$K$8</c:f>
              <c:numCache>
                <c:formatCode>General</c:formatCode>
                <c:ptCount val="2"/>
                <c:pt idx="0">
                  <c:v>8800</c:v>
                </c:pt>
                <c:pt idx="1">
                  <c:v>8800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614B-89E8-723C07507A6B}"/>
            </c:ext>
          </c:extLst>
        </c:ser>
        <c:ser>
          <c:idx val="1"/>
          <c:order val="1"/>
          <c:tx>
            <c:v>Marginal Cost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tint val="50000"/>
                    </a:schemeClr>
                  </a:gs>
                  <a:gs pos="35000">
                    <a:schemeClr val="accent2">
                      <a:tint val="37000"/>
                    </a:schemeClr>
                  </a:gs>
                  <a:gs pos="100000">
                    <a:schemeClr val="accent2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'Marginal-Cost Schedules'!$A$6:$A$26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'Marginal-Cost Schedules'!$H$6:$H$26</c:f>
              <c:numCache>
                <c:formatCode>\$#,##0.00</c:formatCode>
                <c:ptCount val="21"/>
                <c:pt idx="1">
                  <c:v>4317.5</c:v>
                </c:pt>
                <c:pt idx="2">
                  <c:v>5005</c:v>
                </c:pt>
                <c:pt idx="3">
                  <c:v>5795.6250000000036</c:v>
                </c:pt>
                <c:pt idx="4">
                  <c:v>6703.125</c:v>
                </c:pt>
                <c:pt idx="5">
                  <c:v>7660.859375</c:v>
                </c:pt>
                <c:pt idx="6">
                  <c:v>4906.2750000000051</c:v>
                </c:pt>
                <c:pt idx="7">
                  <c:v>5585.7089062500017</c:v>
                </c:pt>
                <c:pt idx="8">
                  <c:v>6360.7668437500033</c:v>
                </c:pt>
                <c:pt idx="9">
                  <c:v>7243.7792796875074</c:v>
                </c:pt>
                <c:pt idx="10">
                  <c:v>8248.586534375012</c:v>
                </c:pt>
                <c:pt idx="11">
                  <c:v>9390.7174472031256</c:v>
                </c:pt>
                <c:pt idx="12">
                  <c:v>10687.588677253138</c:v>
                </c:pt>
                <c:pt idx="13">
                  <c:v>12158.726978841107</c:v>
                </c:pt>
                <c:pt idx="14">
                  <c:v>13826.017053974152</c:v>
                </c:pt>
                <c:pt idx="15">
                  <c:v>15713.977874345364</c:v>
                </c:pt>
                <c:pt idx="16">
                  <c:v>17850.070688251115</c:v>
                </c:pt>
                <c:pt idx="17">
                  <c:v>20265.042286194512</c:v>
                </c:pt>
                <c:pt idx="18">
                  <c:v>22993.307496844121</c:v>
                </c:pt>
                <c:pt idx="19">
                  <c:v>26073.375326761772</c:v>
                </c:pt>
                <c:pt idx="20">
                  <c:v>29548.323647694342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A-614B-89E8-723C07507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35551"/>
        <c:axId val="165935999"/>
      </c:scatterChart>
      <c:valAx>
        <c:axId val="16593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Tomato Beds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5999"/>
        <c:crosses val="autoZero"/>
        <c:crossBetween val="midCat"/>
      </c:valAx>
      <c:valAx>
        <c:axId val="1659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Marginal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3555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Carrot Marginal Cost vs. Market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Carrot Price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'Marginal-Cost Schedules'!$J$31:$J$32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'Marginal-Cost Schedules'!$K$31:$K$32</c:f>
              <c:numCache>
                <c:formatCode>General</c:formatCode>
                <c:ptCount val="2"/>
                <c:pt idx="0">
                  <c:v>2094</c:v>
                </c:pt>
                <c:pt idx="1">
                  <c:v>2094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2-DA48-BC65-CE37A8FC0C9B}"/>
            </c:ext>
          </c:extLst>
        </c:ser>
        <c:ser>
          <c:idx val="1"/>
          <c:order val="1"/>
          <c:tx>
            <c:v>Marginal Cost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tint val="50000"/>
                    </a:schemeClr>
                  </a:gs>
                  <a:gs pos="35000">
                    <a:schemeClr val="accent2">
                      <a:tint val="37000"/>
                    </a:schemeClr>
                  </a:gs>
                  <a:gs pos="100000">
                    <a:schemeClr val="accent2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'Marginal-Cost Schedules'!$A$31:$A$51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'Marginal-Cost Schedules'!$H$31:$H$51</c:f>
              <c:numCache>
                <c:formatCode>\$#,##0.00</c:formatCode>
                <c:ptCount val="21"/>
                <c:pt idx="1">
                  <c:v>1507.7083333333333</c:v>
                </c:pt>
                <c:pt idx="2">
                  <c:v>1561.0937499999998</c:v>
                </c:pt>
                <c:pt idx="3">
                  <c:v>1616.481119791667</c:v>
                </c:pt>
                <c:pt idx="4">
                  <c:v>1673.9371744791652</c:v>
                </c:pt>
                <c:pt idx="5">
                  <c:v>1733.530731201171</c:v>
                </c:pt>
                <c:pt idx="6">
                  <c:v>1795.332755025227</c:v>
                </c:pt>
                <c:pt idx="7">
                  <c:v>1859.4164233334868</c:v>
                </c:pt>
                <c:pt idx="8">
                  <c:v>1925.8571920852646</c:v>
                </c:pt>
                <c:pt idx="9">
                  <c:v>1994.7328640100477</c:v>
                </c:pt>
                <c:pt idx="10">
                  <c:v>2066.1236587860258</c:v>
                </c:pt>
                <c:pt idx="11">
                  <c:v>2140.1122852607878</c:v>
                </c:pt>
                <c:pt idx="12">
                  <c:v>2216.7840157725441</c:v>
                </c:pt>
                <c:pt idx="13">
                  <c:v>2296.2267626316061</c:v>
                </c:pt>
                <c:pt idx="14">
                  <c:v>2378.5311568237667</c:v>
                </c:pt>
                <c:pt idx="15">
                  <c:v>2463.7906289988823</c:v>
                </c:pt>
                <c:pt idx="16">
                  <c:v>2552.1014928097429</c:v>
                </c:pt>
                <c:pt idx="17">
                  <c:v>1670.9013431626554</c:v>
                </c:pt>
                <c:pt idx="18">
                  <c:v>1589.1387909931072</c:v>
                </c:pt>
                <c:pt idx="19">
                  <c:v>1638.1753169880685</c:v>
                </c:pt>
                <c:pt idx="20">
                  <c:v>1688.9454575384007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2-DA48-BC65-CE37A8FC0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54079"/>
        <c:axId val="20858175"/>
      </c:scatterChart>
      <c:valAx>
        <c:axId val="16585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Carrot Beds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8175"/>
        <c:crosses val="autoZero"/>
        <c:crossBetween val="midCat"/>
      </c:valAx>
      <c:valAx>
        <c:axId val="2085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Marginal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54079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Mesclun Marginal Cost vs. Market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Mesclun Price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tint val="50000"/>
                    </a:schemeClr>
                  </a:gs>
                  <a:gs pos="35000">
                    <a:schemeClr val="accent1">
                      <a:tint val="37000"/>
                    </a:schemeClr>
                  </a:gs>
                  <a:gs pos="100000">
                    <a:schemeClr val="accent1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'Marginal-Cost Schedules'!$J$56:$J$57</c:f>
              <c:numCache>
                <c:formatCode>General</c:formatCode>
                <c:ptCount val="2"/>
                <c:pt idx="0">
                  <c:v>1</c:v>
                </c:pt>
                <c:pt idx="1">
                  <c:v>30</c:v>
                </c:pt>
              </c:numCache>
            </c:numRef>
          </c:xVal>
          <c:yVal>
            <c:numRef>
              <c:f>'Marginal-Cost Schedules'!$K$56:$K$57</c:f>
              <c:numCache>
                <c:formatCode>General</c:formatCode>
                <c:ptCount val="2"/>
                <c:pt idx="0">
                  <c:v>2700</c:v>
                </c:pt>
                <c:pt idx="1">
                  <c:v>2700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7A-434C-BFF6-12CA2F633672}"/>
            </c:ext>
          </c:extLst>
        </c:ser>
        <c:ser>
          <c:idx val="1"/>
          <c:order val="1"/>
          <c:tx>
            <c:v>Marginal Cost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tint val="50000"/>
                    </a:schemeClr>
                  </a:gs>
                  <a:gs pos="35000">
                    <a:schemeClr val="accent2">
                      <a:tint val="37000"/>
                    </a:schemeClr>
                  </a:gs>
                  <a:gs pos="100000">
                    <a:schemeClr val="accent2">
                      <a:tint val="15000"/>
                    </a:schemeClr>
                  </a:gs>
                </a:gsLst>
                <a:lin ang="16200000" scaled="1"/>
                <a:tileRect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'Marginal-Cost Schedules'!$A$56:$A$86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'Marginal-Cost Schedules'!$H$56:$H$86</c:f>
              <c:numCache>
                <c:formatCode>\$#,##0.00</c:formatCode>
                <c:ptCount val="31"/>
                <c:pt idx="1">
                  <c:v>2462.03125</c:v>
                </c:pt>
                <c:pt idx="2">
                  <c:v>2501.58203125</c:v>
                </c:pt>
                <c:pt idx="3">
                  <c:v>2541.8743896484366</c:v>
                </c:pt>
                <c:pt idx="4">
                  <c:v>2582.920684814454</c:v>
                </c:pt>
                <c:pt idx="5">
                  <c:v>2624.7334694862348</c:v>
                </c:pt>
                <c:pt idx="6">
                  <c:v>2667.3254924178127</c:v>
                </c:pt>
                <c:pt idx="7">
                  <c:v>2710.7097013180683</c:v>
                </c:pt>
                <c:pt idx="8">
                  <c:v>2754.8992458326466</c:v>
                </c:pt>
                <c:pt idx="9">
                  <c:v>2799.9074805692508</c:v>
                </c:pt>
                <c:pt idx="10">
                  <c:v>2845.7479681671139</c:v>
                </c:pt>
                <c:pt idx="11">
                  <c:v>2892.4344824110776</c:v>
                </c:pt>
                <c:pt idx="12">
                  <c:v>2939.9810113911262</c:v>
                </c:pt>
                <c:pt idx="13">
                  <c:v>2988.4017607077876</c:v>
                </c:pt>
                <c:pt idx="14">
                  <c:v>2522.5810943551696</c:v>
                </c:pt>
                <c:pt idx="15">
                  <c:v>1983.9619249331008</c:v>
                </c:pt>
                <c:pt idx="16">
                  <c:v>2009.5273589841818</c:v>
                </c:pt>
                <c:pt idx="17">
                  <c:v>2035.5594348357699</c:v>
                </c:pt>
                <c:pt idx="18">
                  <c:v>2062.0658239338081</c:v>
                </c:pt>
                <c:pt idx="19">
                  <c:v>2089.0543165975978</c:v>
                </c:pt>
                <c:pt idx="20">
                  <c:v>2116.532823793008</c:v>
                </c:pt>
                <c:pt idx="21">
                  <c:v>2144.5093789313105</c:v>
                </c:pt>
                <c:pt idx="22">
                  <c:v>2172.9921396943828</c:v>
                </c:pt>
                <c:pt idx="23">
                  <c:v>2201.9893898860464</c:v>
                </c:pt>
                <c:pt idx="24">
                  <c:v>2231.5095413106901</c:v>
                </c:pt>
                <c:pt idx="25">
                  <c:v>2261.5611356787776</c:v>
                </c:pt>
                <c:pt idx="26">
                  <c:v>2292.1528465402444</c:v>
                </c:pt>
                <c:pt idx="27">
                  <c:v>2323.2934812457679</c:v>
                </c:pt>
                <c:pt idx="28">
                  <c:v>2354.9919829366991</c:v>
                </c:pt>
                <c:pt idx="29">
                  <c:v>2387.2574325634341</c:v>
                </c:pt>
                <c:pt idx="30">
                  <c:v>2420.0990509335097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7A-434C-BFF6-12CA2F633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24767"/>
        <c:axId val="170598719"/>
      </c:scatterChart>
      <c:valAx>
        <c:axId val="17222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Mesclun Beds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98719"/>
        <c:crosses val="autoZero"/>
        <c:crossBetween val="midCat"/>
      </c:valAx>
      <c:valAx>
        <c:axId val="17059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Marginal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24767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577850</xdr:colOff>
      <xdr:row>10</xdr:row>
      <xdr:rowOff>31750</xdr:rowOff>
    </xdr:from>
    <xdr:to>
      <xdr:col>15</xdr:col>
      <xdr:colOff>527050</xdr:colOff>
      <xdr:row>24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AC1D7-F8C5-B27C-5359-CCD72C7E3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615950</xdr:colOff>
      <xdr:row>33</xdr:row>
      <xdr:rowOff>146050</xdr:rowOff>
    </xdr:from>
    <xdr:to>
      <xdr:col>16</xdr:col>
      <xdr:colOff>254000</xdr:colOff>
      <xdr:row>48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1E5C2-ADBF-D82E-69D6-8FB6ED4F1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25400</xdr:colOff>
      <xdr:row>57</xdr:row>
      <xdr:rowOff>95250</xdr:rowOff>
    </xdr:from>
    <xdr:to>
      <xdr:col>16</xdr:col>
      <xdr:colOff>368300</xdr:colOff>
      <xdr:row>72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B72FEB-4235-8701-5C21-C2B908C88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topLeftCell="AP1" zoomScaleNormal="100" workbookViewId="0">
      <pane ySplit="3" topLeftCell="A4" activePane="bottomLeft" state="frozen"/>
      <selection pane="bottomLeft" activeCell="B11" sqref="B11"/>
    </sheetView>
  </sheetViews>
  <sheetFormatPr baseColWidth="10" defaultColWidth="8.6640625" defaultRowHeight="15" x14ac:dyDescent="0.2"/>
  <cols>
    <col min="1" max="1" width="24" customWidth="1"/>
    <col min="2" max="2" width="14" customWidth="1"/>
    <col min="3" max="3" width="34" customWidth="1"/>
    <col min="4" max="4" width="30" customWidth="1"/>
  </cols>
  <sheetData>
    <row r="1" spans="1:4" ht="18" x14ac:dyDescent="0.2">
      <c r="A1" s="26" t="s">
        <v>0</v>
      </c>
      <c r="B1" s="26"/>
      <c r="C1" s="26"/>
      <c r="D1" s="26"/>
    </row>
    <row r="3" spans="1:4" x14ac:dyDescent="0.2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2">
      <c r="A4" s="5" t="s">
        <v>5</v>
      </c>
      <c r="B4" s="6">
        <v>20</v>
      </c>
      <c r="C4" s="7" t="s">
        <v>6</v>
      </c>
      <c r="D4" s="8" t="s">
        <v>7</v>
      </c>
    </row>
    <row r="5" spans="1:4" x14ac:dyDescent="0.2">
      <c r="A5" s="5" t="s">
        <v>8</v>
      </c>
      <c r="B5" s="9">
        <v>8800</v>
      </c>
      <c r="C5" s="7" t="s">
        <v>9</v>
      </c>
      <c r="D5" s="8" t="s">
        <v>7</v>
      </c>
    </row>
    <row r="6" spans="1:4" x14ac:dyDescent="0.2">
      <c r="A6" s="5" t="s">
        <v>10</v>
      </c>
      <c r="B6" s="6">
        <v>2.5</v>
      </c>
      <c r="C6" s="7" t="s">
        <v>11</v>
      </c>
      <c r="D6" s="8" t="s">
        <v>7</v>
      </c>
    </row>
    <row r="7" spans="1:4" x14ac:dyDescent="0.2">
      <c r="A7" s="5" t="s">
        <v>12</v>
      </c>
      <c r="B7" s="6">
        <v>880</v>
      </c>
      <c r="C7" s="7" t="s">
        <v>9</v>
      </c>
      <c r="D7" s="8" t="s">
        <v>7</v>
      </c>
    </row>
    <row r="8" spans="1:4" x14ac:dyDescent="0.2">
      <c r="A8" s="5" t="s">
        <v>13</v>
      </c>
      <c r="B8" s="10">
        <v>0.1</v>
      </c>
      <c r="C8" s="7" t="s">
        <v>14</v>
      </c>
      <c r="D8" s="8" t="s">
        <v>7</v>
      </c>
    </row>
    <row r="9" spans="1:4" x14ac:dyDescent="0.2">
      <c r="A9" s="5" t="s">
        <v>15</v>
      </c>
      <c r="B9" s="6">
        <v>20</v>
      </c>
      <c r="C9" s="7" t="s">
        <v>16</v>
      </c>
      <c r="D9" s="8" t="s">
        <v>7</v>
      </c>
    </row>
    <row r="10" spans="1:4" x14ac:dyDescent="0.2">
      <c r="A10" s="5" t="s">
        <v>17</v>
      </c>
      <c r="B10" s="9">
        <v>2094</v>
      </c>
      <c r="C10" s="7" t="s">
        <v>9</v>
      </c>
      <c r="D10" s="8" t="s">
        <v>7</v>
      </c>
    </row>
    <row r="11" spans="1:4" x14ac:dyDescent="0.2">
      <c r="A11" s="5" t="s">
        <v>18</v>
      </c>
      <c r="B11" s="11">
        <f>2.5/3</f>
        <v>0.83333333333333337</v>
      </c>
      <c r="C11" s="7" t="s">
        <v>11</v>
      </c>
      <c r="D11" s="8" t="s">
        <v>7</v>
      </c>
    </row>
    <row r="12" spans="1:4" x14ac:dyDescent="0.2">
      <c r="A12" s="5" t="s">
        <v>19</v>
      </c>
      <c r="B12" s="6">
        <v>440</v>
      </c>
      <c r="C12" s="7" t="s">
        <v>9</v>
      </c>
      <c r="D12" s="8" t="s">
        <v>7</v>
      </c>
    </row>
    <row r="13" spans="1:4" x14ac:dyDescent="0.2">
      <c r="A13" s="5" t="s">
        <v>20</v>
      </c>
      <c r="B13" s="10">
        <v>2.5000000000000001E-2</v>
      </c>
      <c r="C13" s="7" t="s">
        <v>21</v>
      </c>
      <c r="D13" s="8" t="s">
        <v>7</v>
      </c>
    </row>
    <row r="14" spans="1:4" x14ac:dyDescent="0.2">
      <c r="A14" s="5" t="s">
        <v>22</v>
      </c>
      <c r="B14" s="6">
        <v>30</v>
      </c>
      <c r="C14" s="7" t="s">
        <v>23</v>
      </c>
      <c r="D14" s="8" t="s">
        <v>7</v>
      </c>
    </row>
    <row r="15" spans="1:4" x14ac:dyDescent="0.2">
      <c r="A15" s="5" t="s">
        <v>24</v>
      </c>
      <c r="B15" s="9">
        <v>2700</v>
      </c>
      <c r="C15" s="7" t="s">
        <v>9</v>
      </c>
      <c r="D15" s="8" t="s">
        <v>7</v>
      </c>
    </row>
    <row r="16" spans="1:4" x14ac:dyDescent="0.2">
      <c r="A16" s="5" t="s">
        <v>25</v>
      </c>
      <c r="B16" s="6">
        <v>1.25</v>
      </c>
      <c r="C16" s="7" t="s">
        <v>11</v>
      </c>
      <c r="D16" s="8" t="s">
        <v>7</v>
      </c>
    </row>
    <row r="17" spans="1:4" x14ac:dyDescent="0.2">
      <c r="A17" s="5" t="s">
        <v>26</v>
      </c>
      <c r="B17" s="6">
        <v>880</v>
      </c>
      <c r="C17" s="7" t="s">
        <v>9</v>
      </c>
      <c r="D17" s="8" t="s">
        <v>7</v>
      </c>
    </row>
    <row r="18" spans="1:4" x14ac:dyDescent="0.2">
      <c r="A18" s="5" t="s">
        <v>27</v>
      </c>
      <c r="B18" s="10">
        <v>1.2500000000000001E-2</v>
      </c>
      <c r="C18" s="7" t="s">
        <v>28</v>
      </c>
      <c r="D18" s="8" t="s">
        <v>7</v>
      </c>
    </row>
    <row r="19" spans="1:4" x14ac:dyDescent="0.2">
      <c r="A19" s="5" t="s">
        <v>29</v>
      </c>
      <c r="B19" s="6">
        <v>36</v>
      </c>
      <c r="C19" s="7" t="s">
        <v>30</v>
      </c>
      <c r="D19" s="8" t="s">
        <v>31</v>
      </c>
    </row>
    <row r="20" spans="1:4" x14ac:dyDescent="0.2">
      <c r="A20" s="5" t="s">
        <v>32</v>
      </c>
      <c r="B20" s="6">
        <v>64</v>
      </c>
      <c r="C20" s="7" t="s">
        <v>33</v>
      </c>
      <c r="D20" s="8" t="s">
        <v>31</v>
      </c>
    </row>
    <row r="21" spans="1:4" x14ac:dyDescent="0.2">
      <c r="A21" s="5" t="s">
        <v>34</v>
      </c>
      <c r="B21" s="9">
        <v>20000</v>
      </c>
      <c r="C21" s="7" t="s">
        <v>35</v>
      </c>
      <c r="D21" s="8" t="s">
        <v>31</v>
      </c>
    </row>
    <row r="22" spans="1:4" x14ac:dyDescent="0.2">
      <c r="A22" s="5" t="s">
        <v>36</v>
      </c>
      <c r="B22" s="9">
        <v>50000</v>
      </c>
      <c r="C22" s="7" t="s">
        <v>35</v>
      </c>
      <c r="D22" s="8" t="s">
        <v>31</v>
      </c>
    </row>
    <row r="23" spans="1:4" x14ac:dyDescent="0.2">
      <c r="A23" s="5" t="s">
        <v>37</v>
      </c>
      <c r="B23" s="6">
        <v>720</v>
      </c>
      <c r="C23" s="7" t="s">
        <v>38</v>
      </c>
      <c r="D23" s="8" t="s">
        <v>31</v>
      </c>
    </row>
    <row r="24" spans="1:4" x14ac:dyDescent="0.2">
      <c r="A24" s="5" t="s">
        <v>39</v>
      </c>
      <c r="B24" s="10">
        <v>0.5</v>
      </c>
      <c r="C24" s="7" t="s">
        <v>40</v>
      </c>
      <c r="D24" s="8" t="s">
        <v>31</v>
      </c>
    </row>
    <row r="25" spans="1:4" x14ac:dyDescent="0.2">
      <c r="A25" s="5" t="s">
        <v>41</v>
      </c>
      <c r="B25" s="9">
        <v>25000</v>
      </c>
      <c r="C25" s="7" t="s">
        <v>42</v>
      </c>
      <c r="D25" s="8" t="s">
        <v>31</v>
      </c>
    </row>
    <row r="26" spans="1:4" x14ac:dyDescent="0.2">
      <c r="A26" s="5" t="s">
        <v>43</v>
      </c>
      <c r="B26" s="6">
        <v>1440</v>
      </c>
      <c r="C26" s="7" t="s">
        <v>44</v>
      </c>
      <c r="D26" s="8" t="s">
        <v>31</v>
      </c>
    </row>
    <row r="27" spans="1:4" x14ac:dyDescent="0.2">
      <c r="A27" s="5" t="s">
        <v>45</v>
      </c>
      <c r="B27" s="6">
        <v>4</v>
      </c>
      <c r="C27" s="7" t="s">
        <v>46</v>
      </c>
      <c r="D27" s="8" t="s">
        <v>31</v>
      </c>
    </row>
    <row r="29" spans="1:4" ht="30" customHeight="1" x14ac:dyDescent="0.2">
      <c r="A29" s="28" t="s">
        <v>47</v>
      </c>
      <c r="B29" s="28"/>
      <c r="C29" s="28"/>
      <c r="D29" s="28"/>
    </row>
  </sheetData>
  <mergeCells count="2">
    <mergeCell ref="A1:D1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showGridLines="0" zoomScaleNormal="100" workbookViewId="0">
      <pane ySplit="3" topLeftCell="A16" activePane="bottomLeft" state="frozen"/>
      <selection pane="bottomLeft" activeCell="B48" sqref="B48"/>
    </sheetView>
  </sheetViews>
  <sheetFormatPr baseColWidth="10" defaultColWidth="8.6640625" defaultRowHeight="15" x14ac:dyDescent="0.2"/>
  <cols>
    <col min="1" max="1" width="34" customWidth="1"/>
    <col min="2" max="2" width="16" customWidth="1"/>
    <col min="3" max="3" width="34" customWidth="1"/>
  </cols>
  <sheetData>
    <row r="1" spans="1:3" ht="18" x14ac:dyDescent="0.2">
      <c r="A1" s="26" t="s">
        <v>48</v>
      </c>
      <c r="B1" s="26"/>
      <c r="C1" s="26"/>
    </row>
    <row r="3" spans="1:3" x14ac:dyDescent="0.2">
      <c r="A3" s="27" t="s">
        <v>49</v>
      </c>
      <c r="B3" s="27"/>
      <c r="C3" s="27"/>
    </row>
    <row r="4" spans="1:3" x14ac:dyDescent="0.2">
      <c r="A4" s="5" t="s">
        <v>50</v>
      </c>
      <c r="B4" s="12">
        <v>10</v>
      </c>
    </row>
    <row r="5" spans="1:3" x14ac:dyDescent="0.2">
      <c r="A5" s="5" t="s">
        <v>51</v>
      </c>
      <c r="B5" s="12">
        <v>20</v>
      </c>
    </row>
    <row r="6" spans="1:3" x14ac:dyDescent="0.2">
      <c r="A6" s="5" t="s">
        <v>52</v>
      </c>
      <c r="B6" s="12">
        <v>30</v>
      </c>
    </row>
    <row r="8" spans="1:3" x14ac:dyDescent="0.2">
      <c r="A8" s="3" t="s">
        <v>53</v>
      </c>
    </row>
    <row r="9" spans="1:3" x14ac:dyDescent="0.2">
      <c r="A9" s="5" t="s">
        <v>54</v>
      </c>
      <c r="B9" s="13">
        <f>OPT_TOM_BEDS*TOM_HRS_PER_BED*WEEKS*(1+TOM_DIM_RET)^OPT_TOM_BEDS</f>
        <v>2334.3682140900019</v>
      </c>
    </row>
    <row r="10" spans="1:3" x14ac:dyDescent="0.2">
      <c r="A10" s="5" t="s">
        <v>55</v>
      </c>
      <c r="B10" s="13">
        <f>OPT_CAR_BEDS*CAR_HRS_PER_BED*WEEKS*(1+CAR_DIM_RET)^OPT_CAR_BEDS</f>
        <v>983.16986417423732</v>
      </c>
    </row>
    <row r="11" spans="1:3" x14ac:dyDescent="0.2">
      <c r="A11" s="5" t="s">
        <v>56</v>
      </c>
      <c r="B11" s="13">
        <f>OPT_MES_BEDS*MES_HRS_PER_BED*WEEKS*(1+MES_DIM_RET)^OPT_MES_BEDS</f>
        <v>1959.6780360096488</v>
      </c>
    </row>
    <row r="13" spans="1:3" x14ac:dyDescent="0.2">
      <c r="A13" s="3" t="s">
        <v>57</v>
      </c>
    </row>
    <row r="14" spans="1:3" x14ac:dyDescent="0.2">
      <c r="A14" s="5" t="s">
        <v>58</v>
      </c>
      <c r="B14" s="13">
        <f>TOM_LABOR_HRS+CAR_LABOR_HRS+MES_LABOR_HRS</f>
        <v>5277.2161142738878</v>
      </c>
    </row>
    <row r="15" spans="1:3" x14ac:dyDescent="0.2">
      <c r="A15" s="5" t="s">
        <v>59</v>
      </c>
      <c r="B15" s="13">
        <f>MIN(TOTAL_LABOR_HRS,FARM_AVAIL_HRS)</f>
        <v>720</v>
      </c>
    </row>
    <row r="16" spans="1:3" x14ac:dyDescent="0.2">
      <c r="A16" s="5" t="s">
        <v>60</v>
      </c>
      <c r="B16" s="13">
        <f>MAX(TOTAL_LABOR_HRS-FARM_AVAIL_HRS,0)</f>
        <v>4557.2161142738878</v>
      </c>
    </row>
    <row r="17" spans="1:2" x14ac:dyDescent="0.2">
      <c r="A17" s="5" t="s">
        <v>61</v>
      </c>
      <c r="B17" s="14">
        <f>ROUNDUP(TEMP_HRS_USED/TEMP_WORK_CAP,0)</f>
        <v>4</v>
      </c>
    </row>
    <row r="18" spans="1:2" x14ac:dyDescent="0.2">
      <c r="A18" s="5" t="s">
        <v>62</v>
      </c>
      <c r="B18" s="15">
        <f>FARM_SEAS_SAL*FARM_SHARE_FIELD_TIME/FARM_AVAIL_HRS</f>
        <v>34.722222222222221</v>
      </c>
    </row>
    <row r="19" spans="1:2" x14ac:dyDescent="0.2">
      <c r="A19" s="5" t="s">
        <v>63</v>
      </c>
      <c r="B19" s="15">
        <f>TEMP_WORK_SEAS_SAL/TEMP_WORK_CAP</f>
        <v>17.361111111111111</v>
      </c>
    </row>
    <row r="20" spans="1:2" x14ac:dyDescent="0.2">
      <c r="A20" s="5" t="s">
        <v>64</v>
      </c>
      <c r="B20" s="16">
        <f>FARM_HRS_USED*FARM_RATE+TEMP_HRS_USED*TEMP_RATE</f>
        <v>104118.335317255</v>
      </c>
    </row>
    <row r="21" spans="1:2" x14ac:dyDescent="0.2">
      <c r="A21" s="5" t="s">
        <v>65</v>
      </c>
      <c r="B21" s="15">
        <f>IFERROR(TOTAL_LABOR_DOLLARS/TOTAL_LABOR_HRS,0)</f>
        <v>19.729784239010844</v>
      </c>
    </row>
    <row r="23" spans="1:2" x14ac:dyDescent="0.2">
      <c r="A23" s="3" t="s">
        <v>66</v>
      </c>
    </row>
    <row r="24" spans="1:2" x14ac:dyDescent="0.2">
      <c r="A24" s="5" t="s">
        <v>67</v>
      </c>
      <c r="B24" s="17">
        <f>OPT_TOM_BEDS*TOM_PRICE</f>
        <v>88000</v>
      </c>
    </row>
    <row r="25" spans="1:2" x14ac:dyDescent="0.2">
      <c r="A25" s="5" t="s">
        <v>68</v>
      </c>
      <c r="B25" s="17">
        <f>OPT_CAR_BEDS*CAR_PRICE</f>
        <v>41880</v>
      </c>
    </row>
    <row r="26" spans="1:2" x14ac:dyDescent="0.2">
      <c r="A26" s="5" t="s">
        <v>69</v>
      </c>
      <c r="B26" s="17">
        <f>OPT_MES_BEDS*MES_PRICE</f>
        <v>81000</v>
      </c>
    </row>
    <row r="27" spans="1:2" x14ac:dyDescent="0.2">
      <c r="A27" s="5" t="s">
        <v>70</v>
      </c>
      <c r="B27" s="17">
        <f>TOM_REVENUE+CAR_REVENUE+MES_REVENUE</f>
        <v>210880</v>
      </c>
    </row>
    <row r="28" spans="1:2" x14ac:dyDescent="0.2">
      <c r="A28" s="5" t="s">
        <v>71</v>
      </c>
      <c r="B28" s="17">
        <f>OPT_TOM_BEDS*TOM_FERT</f>
        <v>8800</v>
      </c>
    </row>
    <row r="29" spans="1:2" x14ac:dyDescent="0.2">
      <c r="A29" s="5" t="s">
        <v>72</v>
      </c>
      <c r="B29" s="17">
        <f>OPT_CAR_BEDS*CAR_FERT</f>
        <v>8800</v>
      </c>
    </row>
    <row r="30" spans="1:2" x14ac:dyDescent="0.2">
      <c r="A30" s="5" t="s">
        <v>73</v>
      </c>
      <c r="B30" s="17">
        <f>OPT_MES_BEDS*MES_FERT</f>
        <v>26400</v>
      </c>
    </row>
    <row r="31" spans="1:2" x14ac:dyDescent="0.2">
      <c r="A31" s="5" t="s">
        <v>74</v>
      </c>
      <c r="B31" s="17">
        <f>TOM_FERT_COST+CAR_FERT_COST+MES_FERT_COST</f>
        <v>44000</v>
      </c>
    </row>
    <row r="32" spans="1:2" x14ac:dyDescent="0.2">
      <c r="A32" s="5" t="s">
        <v>75</v>
      </c>
      <c r="B32" s="16">
        <f>TOTAL_FERT_COST+TOTAL_LABOR_DOLLARS+FIX_SEAS_COST</f>
        <v>168118.335317255</v>
      </c>
    </row>
    <row r="33" spans="1:3" x14ac:dyDescent="0.2">
      <c r="A33" s="5" t="s">
        <v>76</v>
      </c>
      <c r="B33" s="16">
        <f>TOTAL_REVENUE-TOTAL_COST</f>
        <v>42761.664682745002</v>
      </c>
    </row>
    <row r="34" spans="1:3" x14ac:dyDescent="0.2">
      <c r="A34" s="5" t="s">
        <v>77</v>
      </c>
      <c r="B34" s="14">
        <f>TOT_BED_CAP-(OPT_TOM_BEDS+OPT_CAR_BEDS+OPT_MES_BEDS)</f>
        <v>4</v>
      </c>
    </row>
    <row r="36" spans="1:3" x14ac:dyDescent="0.2">
      <c r="A36" s="27" t="s">
        <v>78</v>
      </c>
      <c r="B36" s="27"/>
      <c r="C36" s="27"/>
    </row>
    <row r="37" spans="1:3" x14ac:dyDescent="0.2">
      <c r="A37" s="5" t="s">
        <v>79</v>
      </c>
      <c r="B37" s="16">
        <f>IF(OPT_TOM_BEDS&lt;=0,"",TOTAL_COST-((TOTAL_FERT_COST-TOM_FERT)+(MIN((CAR_LABOR_HRS+MES_LABOR_HRS+((OPT_TOM_BEDS-1)*TOM_HRS_PER_BED*WEEKS*(1+TOM_DIM_RET)^(OPT_TOM_BEDS-1))),FARM_AVAIL_HRS)*FARM_RATE+MAX((CAR_LABOR_HRS+MES_LABOR_HRS+((OPT_TOM_BEDS-1)*TOM_HRS_PER_BED*WEEKS*(1+TOM_DIM_RET)^(OPT_TOM_BEDS-1)))-FARM_AVAIL_HRS,0)*TEMP_RATE)+FIX_SEAS_COST))</f>
        <v>8248.5865343750338</v>
      </c>
    </row>
    <row r="38" spans="1:3" x14ac:dyDescent="0.2">
      <c r="A38" s="5" t="s">
        <v>80</v>
      </c>
      <c r="B38" s="16">
        <f>IF(OPT_CAR_BEDS&lt;=0,"",TOTAL_COST-((TOTAL_FERT_COST-CAR_FERT)+(MIN((TOM_LABOR_HRS+MES_LABOR_HRS+((OPT_CAR_BEDS-1)*CAR_HRS_PER_BED*WEEKS*(1+CAR_DIM_RET)^(OPT_CAR_BEDS-1))),FARM_AVAIL_HRS)*FARM_RATE+MAX((TOM_LABOR_HRS+MES_LABOR_HRS+((OPT_CAR_BEDS-1)*CAR_HRS_PER_BED*WEEKS*(1+CAR_DIM_RET)^(OPT_CAR_BEDS-1)))-FARM_AVAIL_HRS,0)*TEMP_RATE)+FIX_SEAS_COST))</f>
        <v>1688.9454575384152</v>
      </c>
    </row>
    <row r="39" spans="1:3" x14ac:dyDescent="0.2">
      <c r="A39" s="5" t="s">
        <v>81</v>
      </c>
      <c r="B39" s="16">
        <f>IF(OPT_MES_BEDS&lt;=0,"",TOTAL_COST-((TOTAL_FERT_COST-MES_FERT)+(MIN((TOM_LABOR_HRS+CAR_LABOR_HRS+((OPT_MES_BEDS-1)*MES_HRS_PER_BED*WEEKS*(1+MES_DIM_RET)^(OPT_MES_BEDS-1))),FARM_AVAIL_HRS)*FARM_RATE+MAX((TOM_LABOR_HRS+CAR_LABOR_HRS+((OPT_MES_BEDS-1)*MES_HRS_PER_BED*WEEKS*(1+MES_DIM_RET)^(OPT_MES_BEDS-1)))-FARM_AVAIL_HRS,0)*TEMP_RATE)+FIX_SEAS_COST))</f>
        <v>2420.0990509334952</v>
      </c>
    </row>
    <row r="41" spans="1:3" x14ac:dyDescent="0.2">
      <c r="A41" s="27" t="s">
        <v>82</v>
      </c>
      <c r="B41" s="27"/>
      <c r="C41" s="27"/>
    </row>
    <row r="42" spans="1:3" x14ac:dyDescent="0.2">
      <c r="A42" s="5" t="s">
        <v>83</v>
      </c>
      <c r="B42" s="18" t="b">
        <f>OPT_TOM_BEDS&lt;=TOM_MAX_BEDS</f>
        <v>1</v>
      </c>
    </row>
    <row r="43" spans="1:3" x14ac:dyDescent="0.2">
      <c r="A43" s="5" t="s">
        <v>84</v>
      </c>
      <c r="B43" s="18" t="b">
        <f>OPT_CAR_BEDS&lt;=CAR_MAX_BEDS</f>
        <v>1</v>
      </c>
    </row>
    <row r="44" spans="1:3" x14ac:dyDescent="0.2">
      <c r="A44" s="5" t="s">
        <v>85</v>
      </c>
      <c r="B44" s="18" t="b">
        <f>OPT_MES_BEDS&lt;=MES_MAX_BEDS</f>
        <v>1</v>
      </c>
    </row>
    <row r="45" spans="1:3" x14ac:dyDescent="0.2">
      <c r="A45" s="5" t="s">
        <v>86</v>
      </c>
      <c r="B45" s="18" t="b">
        <f>(OPT_TOM_BEDS+OPT_CAR_BEDS+OPT_MES_BEDS)&lt;=TOT_BED_CAP</f>
        <v>1</v>
      </c>
    </row>
    <row r="46" spans="1:3" x14ac:dyDescent="0.2">
      <c r="A46" s="5" t="s">
        <v>87</v>
      </c>
      <c r="B46" s="18" t="b">
        <f>REQ_WORKER&lt;=MAX_TEMP_WORK</f>
        <v>1</v>
      </c>
    </row>
    <row r="47" spans="1:3" x14ac:dyDescent="0.2">
      <c r="A47" s="5" t="s">
        <v>88</v>
      </c>
      <c r="B47" s="18" t="b">
        <f>AND(ABS(OPT_TOM_BEDS-ROUND(OPT_TOM_BEDS,0))&lt;0.000001,OPT_TOM_BEDS&gt;=0,ABS(OPT_CAR_BEDS-ROUND(OPT_CAR_BEDS,0))&lt;0.000001,OPT_CAR_BEDS&gt;=0,ABS(OPT_MES_BEDS-ROUND(OPT_MES_BEDS,0))&lt;0.000001,OPT_MES_BEDS&gt;=0)</f>
        <v>1</v>
      </c>
    </row>
    <row r="49" spans="1:3" ht="90" customHeight="1" x14ac:dyDescent="0.2">
      <c r="A49" s="28" t="s">
        <v>89</v>
      </c>
      <c r="B49" s="28"/>
      <c r="C49" s="28"/>
    </row>
  </sheetData>
  <mergeCells count="5">
    <mergeCell ref="A1:C1"/>
    <mergeCell ref="A3:C3"/>
    <mergeCell ref="A36:C36"/>
    <mergeCell ref="A41:C41"/>
    <mergeCell ref="A49:C4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7"/>
  <sheetViews>
    <sheetView showGridLines="0" tabSelected="1" zoomScaleNormal="100" workbookViewId="0">
      <pane ySplit="3" topLeftCell="A37" activePane="bottomLeft" state="frozen"/>
      <selection pane="bottomLeft" activeCell="N76" sqref="N76"/>
    </sheetView>
  </sheetViews>
  <sheetFormatPr baseColWidth="10" defaultColWidth="8.6640625" defaultRowHeight="15" x14ac:dyDescent="0.2"/>
  <cols>
    <col min="1" max="1" width="8" customWidth="1"/>
    <col min="2" max="3" width="14" customWidth="1"/>
    <col min="4" max="4" width="12" customWidth="1"/>
    <col min="5" max="5" width="14" customWidth="1"/>
    <col min="6" max="6" width="16" customWidth="1"/>
    <col min="7" max="8" width="12" customWidth="1"/>
  </cols>
  <sheetData>
    <row r="1" spans="1:11" ht="18" x14ac:dyDescent="0.2">
      <c r="A1" s="26" t="s">
        <v>90</v>
      </c>
      <c r="B1" s="26"/>
      <c r="C1" s="26"/>
      <c r="D1" s="26"/>
      <c r="E1" s="26"/>
      <c r="F1" s="26"/>
      <c r="G1" s="26"/>
      <c r="H1" s="26"/>
    </row>
    <row r="2" spans="1:11" ht="27.75" customHeight="1" x14ac:dyDescent="0.2">
      <c r="A2" s="28" t="s">
        <v>91</v>
      </c>
      <c r="B2" s="28"/>
      <c r="C2" s="28"/>
      <c r="D2" s="28"/>
      <c r="E2" s="28"/>
      <c r="F2" s="28"/>
      <c r="G2" s="28"/>
      <c r="H2" s="28"/>
    </row>
    <row r="4" spans="1:11" x14ac:dyDescent="0.2">
      <c r="A4" s="30" t="s">
        <v>92</v>
      </c>
      <c r="B4" s="30"/>
      <c r="C4" s="30"/>
      <c r="D4" s="30"/>
      <c r="E4" s="30"/>
      <c r="F4" s="30"/>
      <c r="G4" s="30"/>
      <c r="H4" s="30"/>
    </row>
    <row r="5" spans="1:11" ht="30" x14ac:dyDescent="0.2">
      <c r="A5" s="4" t="s">
        <v>93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4" t="s">
        <v>100</v>
      </c>
    </row>
    <row r="6" spans="1:11" x14ac:dyDescent="0.2">
      <c r="A6" s="18">
        <v>0</v>
      </c>
      <c r="B6" s="13">
        <f t="shared" ref="B6:B26" si="0">A6*TOM_HRS_PER_BED*WEEKS*(1+TOM_DIM_RET)^A6</f>
        <v>0</v>
      </c>
      <c r="C6" s="13">
        <f t="shared" ref="C6:C26" si="1">MIN(B6,FARM_AVAIL_HRS)</f>
        <v>0</v>
      </c>
      <c r="D6" s="13">
        <f t="shared" ref="D6:D26" si="2">MAX(B6-FARM_AVAIL_HRS,0)</f>
        <v>0</v>
      </c>
      <c r="E6" s="16">
        <f t="shared" ref="E6:E26" si="3">C6*FARM_RATE+D6*TEMP_RATE</f>
        <v>0</v>
      </c>
      <c r="F6" s="17">
        <f t="shared" ref="F6:F26" si="4">A6*TOM_FERT</f>
        <v>0</v>
      </c>
      <c r="G6" s="16">
        <f t="shared" ref="G6:G26" si="5">E6+F6</f>
        <v>0</v>
      </c>
      <c r="H6" s="18"/>
    </row>
    <row r="7" spans="1:11" x14ac:dyDescent="0.2">
      <c r="A7" s="18">
        <v>1</v>
      </c>
      <c r="B7" s="13">
        <f t="shared" si="0"/>
        <v>99.000000000000014</v>
      </c>
      <c r="C7" s="13">
        <f t="shared" si="1"/>
        <v>99.000000000000014</v>
      </c>
      <c r="D7" s="13">
        <f t="shared" si="2"/>
        <v>0</v>
      </c>
      <c r="E7" s="16">
        <f t="shared" si="3"/>
        <v>3437.5000000000005</v>
      </c>
      <c r="F7" s="17">
        <f t="shared" si="4"/>
        <v>880</v>
      </c>
      <c r="G7" s="16">
        <f t="shared" si="5"/>
        <v>4317.5</v>
      </c>
      <c r="H7" s="16">
        <f t="shared" ref="H7:H26" si="6">G7-G6</f>
        <v>4317.5</v>
      </c>
      <c r="J7">
        <v>1</v>
      </c>
      <c r="K7">
        <v>8800</v>
      </c>
    </row>
    <row r="8" spans="1:11" x14ac:dyDescent="0.2">
      <c r="A8" s="18">
        <v>2</v>
      </c>
      <c r="B8" s="13">
        <f t="shared" si="0"/>
        <v>217.80000000000004</v>
      </c>
      <c r="C8" s="13">
        <f t="shared" si="1"/>
        <v>217.80000000000004</v>
      </c>
      <c r="D8" s="13">
        <f t="shared" si="2"/>
        <v>0</v>
      </c>
      <c r="E8" s="16">
        <f t="shared" si="3"/>
        <v>7562.5000000000009</v>
      </c>
      <c r="F8" s="17">
        <f t="shared" si="4"/>
        <v>1760</v>
      </c>
      <c r="G8" s="16">
        <f t="shared" si="5"/>
        <v>9322.5</v>
      </c>
      <c r="H8" s="16">
        <f t="shared" si="6"/>
        <v>5005</v>
      </c>
      <c r="J8">
        <v>20</v>
      </c>
      <c r="K8">
        <v>8800</v>
      </c>
    </row>
    <row r="9" spans="1:11" x14ac:dyDescent="0.2">
      <c r="A9" s="18">
        <v>3</v>
      </c>
      <c r="B9" s="13">
        <f t="shared" si="0"/>
        <v>359.37000000000012</v>
      </c>
      <c r="C9" s="13">
        <f t="shared" si="1"/>
        <v>359.37000000000012</v>
      </c>
      <c r="D9" s="13">
        <f t="shared" si="2"/>
        <v>0</v>
      </c>
      <c r="E9" s="16">
        <f t="shared" si="3"/>
        <v>12478.125000000004</v>
      </c>
      <c r="F9" s="17">
        <f t="shared" si="4"/>
        <v>2640</v>
      </c>
      <c r="G9" s="16">
        <f t="shared" si="5"/>
        <v>15118.125000000004</v>
      </c>
      <c r="H9" s="16">
        <f t="shared" si="6"/>
        <v>5795.6250000000036</v>
      </c>
    </row>
    <row r="10" spans="1:11" x14ac:dyDescent="0.2">
      <c r="A10" s="18">
        <v>4</v>
      </c>
      <c r="B10" s="13">
        <f t="shared" si="0"/>
        <v>527.07600000000014</v>
      </c>
      <c r="C10" s="13">
        <f t="shared" si="1"/>
        <v>527.07600000000014</v>
      </c>
      <c r="D10" s="13">
        <f t="shared" si="2"/>
        <v>0</v>
      </c>
      <c r="E10" s="16">
        <f t="shared" si="3"/>
        <v>18301.250000000004</v>
      </c>
      <c r="F10" s="17">
        <f t="shared" si="4"/>
        <v>3520</v>
      </c>
      <c r="G10" s="16">
        <f t="shared" si="5"/>
        <v>21821.250000000004</v>
      </c>
      <c r="H10" s="16">
        <f t="shared" si="6"/>
        <v>6703.125</v>
      </c>
    </row>
    <row r="11" spans="1:11" x14ac:dyDescent="0.2">
      <c r="A11" s="18">
        <v>5</v>
      </c>
      <c r="B11" s="13">
        <f t="shared" si="0"/>
        <v>724.72950000000026</v>
      </c>
      <c r="C11" s="13">
        <f t="shared" si="1"/>
        <v>720</v>
      </c>
      <c r="D11" s="13">
        <f t="shared" si="2"/>
        <v>4.7295000000002574</v>
      </c>
      <c r="E11" s="16">
        <f t="shared" si="3"/>
        <v>25082.109375000004</v>
      </c>
      <c r="F11" s="17">
        <f t="shared" si="4"/>
        <v>4400</v>
      </c>
      <c r="G11" s="16">
        <f t="shared" si="5"/>
        <v>29482.109375000004</v>
      </c>
      <c r="H11" s="16">
        <f t="shared" si="6"/>
        <v>7660.859375</v>
      </c>
    </row>
    <row r="12" spans="1:11" x14ac:dyDescent="0.2">
      <c r="A12" s="18">
        <v>6</v>
      </c>
      <c r="B12" s="13">
        <f t="shared" si="0"/>
        <v>956.64294000000041</v>
      </c>
      <c r="C12" s="13">
        <f t="shared" si="1"/>
        <v>720</v>
      </c>
      <c r="D12" s="13">
        <f t="shared" si="2"/>
        <v>236.64294000000041</v>
      </c>
      <c r="E12" s="16">
        <f t="shared" si="3"/>
        <v>29108.384375000009</v>
      </c>
      <c r="F12" s="17">
        <f t="shared" si="4"/>
        <v>5280</v>
      </c>
      <c r="G12" s="16">
        <f t="shared" si="5"/>
        <v>34388.384375000009</v>
      </c>
      <c r="H12" s="16">
        <f t="shared" si="6"/>
        <v>4906.2750000000051</v>
      </c>
    </row>
    <row r="13" spans="1:11" x14ac:dyDescent="0.2">
      <c r="A13" s="18">
        <v>7</v>
      </c>
      <c r="B13" s="13">
        <f t="shared" si="0"/>
        <v>1227.6917730000007</v>
      </c>
      <c r="C13" s="13">
        <f t="shared" si="1"/>
        <v>720</v>
      </c>
      <c r="D13" s="13">
        <f t="shared" si="2"/>
        <v>507.69177300000069</v>
      </c>
      <c r="E13" s="16">
        <f t="shared" si="3"/>
        <v>33814.09328125001</v>
      </c>
      <c r="F13" s="17">
        <f t="shared" si="4"/>
        <v>6160</v>
      </c>
      <c r="G13" s="16">
        <f t="shared" si="5"/>
        <v>39974.09328125001</v>
      </c>
      <c r="H13" s="16">
        <f t="shared" si="6"/>
        <v>5585.7089062500017</v>
      </c>
    </row>
    <row r="14" spans="1:11" x14ac:dyDescent="0.2">
      <c r="A14" s="18">
        <v>8</v>
      </c>
      <c r="B14" s="13">
        <f t="shared" si="0"/>
        <v>1543.3839432000009</v>
      </c>
      <c r="C14" s="13">
        <f t="shared" si="1"/>
        <v>720</v>
      </c>
      <c r="D14" s="13">
        <f t="shared" si="2"/>
        <v>823.38394320000089</v>
      </c>
      <c r="E14" s="16">
        <f t="shared" si="3"/>
        <v>39294.860125000014</v>
      </c>
      <c r="F14" s="17">
        <f t="shared" si="4"/>
        <v>7040</v>
      </c>
      <c r="G14" s="16">
        <f t="shared" si="5"/>
        <v>46334.860125000014</v>
      </c>
      <c r="H14" s="16">
        <f t="shared" si="6"/>
        <v>6360.7668437500033</v>
      </c>
    </row>
    <row r="15" spans="1:11" x14ac:dyDescent="0.2">
      <c r="A15" s="18">
        <v>9</v>
      </c>
      <c r="B15" s="13">
        <f t="shared" si="0"/>
        <v>1909.9376297100011</v>
      </c>
      <c r="C15" s="13">
        <f t="shared" si="1"/>
        <v>720</v>
      </c>
      <c r="D15" s="13">
        <f t="shared" si="2"/>
        <v>1189.9376297100011</v>
      </c>
      <c r="E15" s="16">
        <f t="shared" si="3"/>
        <v>45658.639404687521</v>
      </c>
      <c r="F15" s="17">
        <f t="shared" si="4"/>
        <v>7920</v>
      </c>
      <c r="G15" s="16">
        <f t="shared" si="5"/>
        <v>53578.639404687521</v>
      </c>
      <c r="H15" s="16">
        <f t="shared" si="6"/>
        <v>7243.7792796875074</v>
      </c>
    </row>
    <row r="16" spans="1:11" x14ac:dyDescent="0.2">
      <c r="A16" s="18">
        <v>10</v>
      </c>
      <c r="B16" s="13">
        <f t="shared" si="0"/>
        <v>2334.3682140900019</v>
      </c>
      <c r="C16" s="13">
        <f t="shared" si="1"/>
        <v>720</v>
      </c>
      <c r="D16" s="13">
        <f t="shared" si="2"/>
        <v>1614.3682140900019</v>
      </c>
      <c r="E16" s="16">
        <f t="shared" si="3"/>
        <v>53027.225939062533</v>
      </c>
      <c r="F16" s="17">
        <f t="shared" si="4"/>
        <v>8800</v>
      </c>
      <c r="G16" s="16">
        <f t="shared" si="5"/>
        <v>61827.225939062533</v>
      </c>
      <c r="H16" s="16">
        <f t="shared" si="6"/>
        <v>8248.586534375012</v>
      </c>
    </row>
    <row r="17" spans="1:11" x14ac:dyDescent="0.2">
      <c r="A17" s="18">
        <v>11</v>
      </c>
      <c r="B17" s="13">
        <f t="shared" si="0"/>
        <v>2824.5855390489023</v>
      </c>
      <c r="C17" s="13">
        <f t="shared" si="1"/>
        <v>720</v>
      </c>
      <c r="D17" s="13">
        <f t="shared" si="2"/>
        <v>2104.5855390489023</v>
      </c>
      <c r="E17" s="16">
        <f t="shared" si="3"/>
        <v>61537.943386265666</v>
      </c>
      <c r="F17" s="17">
        <f t="shared" si="4"/>
        <v>9680</v>
      </c>
      <c r="G17" s="16">
        <f t="shared" si="5"/>
        <v>71217.943386265659</v>
      </c>
      <c r="H17" s="16">
        <f t="shared" si="6"/>
        <v>9390.7174472031256</v>
      </c>
    </row>
    <row r="18" spans="1:11" x14ac:dyDescent="0.2">
      <c r="A18" s="18">
        <v>12</v>
      </c>
      <c r="B18" s="13">
        <f t="shared" si="0"/>
        <v>3389.502646858683</v>
      </c>
      <c r="C18" s="13">
        <f t="shared" si="1"/>
        <v>720</v>
      </c>
      <c r="D18" s="13">
        <f t="shared" si="2"/>
        <v>2669.502646858683</v>
      </c>
      <c r="E18" s="16">
        <f t="shared" si="3"/>
        <v>71345.532063518796</v>
      </c>
      <c r="F18" s="17">
        <f t="shared" si="4"/>
        <v>10560</v>
      </c>
      <c r="G18" s="16">
        <f t="shared" si="5"/>
        <v>81905.532063518796</v>
      </c>
      <c r="H18" s="16">
        <f t="shared" si="6"/>
        <v>10687.588677253138</v>
      </c>
    </row>
    <row r="19" spans="1:11" x14ac:dyDescent="0.2">
      <c r="A19" s="18">
        <v>13</v>
      </c>
      <c r="B19" s="13">
        <f t="shared" si="0"/>
        <v>4039.1573208399304</v>
      </c>
      <c r="C19" s="13">
        <f t="shared" si="1"/>
        <v>720</v>
      </c>
      <c r="D19" s="13">
        <f t="shared" si="2"/>
        <v>3319.1573208399304</v>
      </c>
      <c r="E19" s="16">
        <f t="shared" si="3"/>
        <v>82624.259042359903</v>
      </c>
      <c r="F19" s="17">
        <f t="shared" si="4"/>
        <v>11440</v>
      </c>
      <c r="G19" s="16">
        <f t="shared" si="5"/>
        <v>94064.259042359903</v>
      </c>
      <c r="H19" s="16">
        <f t="shared" si="6"/>
        <v>12158.726978841107</v>
      </c>
    </row>
    <row r="20" spans="1:11" x14ac:dyDescent="0.2">
      <c r="A20" s="18">
        <v>14</v>
      </c>
      <c r="B20" s="13">
        <f t="shared" si="0"/>
        <v>4784.8479031488414</v>
      </c>
      <c r="C20" s="13">
        <f t="shared" si="1"/>
        <v>720</v>
      </c>
      <c r="D20" s="13">
        <f t="shared" si="2"/>
        <v>4064.8479031488414</v>
      </c>
      <c r="E20" s="16">
        <f t="shared" si="3"/>
        <v>95570.276096334055</v>
      </c>
      <c r="F20" s="17">
        <f t="shared" si="4"/>
        <v>12320</v>
      </c>
      <c r="G20" s="16">
        <f t="shared" si="5"/>
        <v>107890.27609633406</v>
      </c>
      <c r="H20" s="16">
        <f t="shared" si="6"/>
        <v>13826.017053974152</v>
      </c>
    </row>
    <row r="21" spans="1:11" x14ac:dyDescent="0.2">
      <c r="A21" s="18">
        <v>15</v>
      </c>
      <c r="B21" s="13">
        <f t="shared" si="0"/>
        <v>5639.2850287111351</v>
      </c>
      <c r="C21" s="13">
        <f t="shared" si="1"/>
        <v>720</v>
      </c>
      <c r="D21" s="13">
        <f t="shared" si="2"/>
        <v>4919.2850287111351</v>
      </c>
      <c r="E21" s="16">
        <f t="shared" si="3"/>
        <v>110404.25397067942</v>
      </c>
      <c r="F21" s="17">
        <f t="shared" si="4"/>
        <v>13200</v>
      </c>
      <c r="G21" s="16">
        <f t="shared" si="5"/>
        <v>123604.25397067942</v>
      </c>
      <c r="H21" s="16">
        <f t="shared" si="6"/>
        <v>15713.977874345364</v>
      </c>
    </row>
    <row r="22" spans="1:11" x14ac:dyDescent="0.2">
      <c r="A22" s="18">
        <v>16</v>
      </c>
      <c r="B22" s="13">
        <f t="shared" si="0"/>
        <v>6616.761100354398</v>
      </c>
      <c r="C22" s="13">
        <f t="shared" si="1"/>
        <v>720</v>
      </c>
      <c r="D22" s="13">
        <f t="shared" si="2"/>
        <v>5896.761100354398</v>
      </c>
      <c r="E22" s="16">
        <f t="shared" si="3"/>
        <v>127374.32465893052</v>
      </c>
      <c r="F22" s="17">
        <f t="shared" si="4"/>
        <v>14080</v>
      </c>
      <c r="G22" s="16">
        <f t="shared" si="5"/>
        <v>141454.32465893053</v>
      </c>
      <c r="H22" s="16">
        <f t="shared" si="6"/>
        <v>17850.070688251115</v>
      </c>
    </row>
    <row r="23" spans="1:11" x14ac:dyDescent="0.2">
      <c r="A23" s="18">
        <v>17</v>
      </c>
      <c r="B23" s="13">
        <f t="shared" si="0"/>
        <v>7733.3395360392033</v>
      </c>
      <c r="C23" s="13">
        <f t="shared" si="1"/>
        <v>720</v>
      </c>
      <c r="D23" s="13">
        <f t="shared" si="2"/>
        <v>7013.3395360392033</v>
      </c>
      <c r="E23" s="16">
        <f t="shared" si="3"/>
        <v>146759.36694512505</v>
      </c>
      <c r="F23" s="17">
        <f t="shared" si="4"/>
        <v>14960</v>
      </c>
      <c r="G23" s="16">
        <f t="shared" si="5"/>
        <v>161719.36694512505</v>
      </c>
      <c r="H23" s="16">
        <f t="shared" si="6"/>
        <v>20265.042286194512</v>
      </c>
    </row>
    <row r="24" spans="1:11" x14ac:dyDescent="0.2">
      <c r="A24" s="18">
        <v>18</v>
      </c>
      <c r="B24" s="13">
        <f t="shared" si="0"/>
        <v>9007.0660478574246</v>
      </c>
      <c r="C24" s="13">
        <f t="shared" si="1"/>
        <v>720</v>
      </c>
      <c r="D24" s="13">
        <f t="shared" si="2"/>
        <v>8287.0660478574246</v>
      </c>
      <c r="E24" s="16">
        <f t="shared" si="3"/>
        <v>168872.67444196917</v>
      </c>
      <c r="F24" s="17">
        <f t="shared" si="4"/>
        <v>15840</v>
      </c>
      <c r="G24" s="16">
        <f t="shared" si="5"/>
        <v>184712.67444196917</v>
      </c>
      <c r="H24" s="16">
        <f t="shared" si="6"/>
        <v>22993.307496844121</v>
      </c>
    </row>
    <row r="25" spans="1:11" x14ac:dyDescent="0.2">
      <c r="A25" s="18">
        <v>19</v>
      </c>
      <c r="B25" s="13">
        <f t="shared" si="0"/>
        <v>10458.204466678902</v>
      </c>
      <c r="C25" s="13">
        <f t="shared" si="1"/>
        <v>720</v>
      </c>
      <c r="D25" s="13">
        <f t="shared" si="2"/>
        <v>9738.2044666789025</v>
      </c>
      <c r="E25" s="16">
        <f t="shared" si="3"/>
        <v>194066.04976873094</v>
      </c>
      <c r="F25" s="17">
        <f t="shared" si="4"/>
        <v>16720</v>
      </c>
      <c r="G25" s="16">
        <f t="shared" si="5"/>
        <v>210786.04976873094</v>
      </c>
      <c r="H25" s="16">
        <f t="shared" si="6"/>
        <v>26073.375326761772</v>
      </c>
    </row>
    <row r="26" spans="1:11" x14ac:dyDescent="0.2">
      <c r="A26" s="18">
        <v>20</v>
      </c>
      <c r="B26" s="13">
        <f t="shared" si="0"/>
        <v>12109.499908786096</v>
      </c>
      <c r="C26" s="13">
        <f t="shared" si="1"/>
        <v>720</v>
      </c>
      <c r="D26" s="13">
        <f t="shared" si="2"/>
        <v>11389.499908786096</v>
      </c>
      <c r="E26" s="16">
        <f t="shared" si="3"/>
        <v>222734.37341642528</v>
      </c>
      <c r="F26" s="17">
        <f t="shared" si="4"/>
        <v>17600</v>
      </c>
      <c r="G26" s="16">
        <f t="shared" si="5"/>
        <v>240334.37341642528</v>
      </c>
      <c r="H26" s="16">
        <f t="shared" si="6"/>
        <v>29548.323647694342</v>
      </c>
    </row>
    <row r="27" spans="1:11" x14ac:dyDescent="0.2">
      <c r="A27" s="19" t="s">
        <v>101</v>
      </c>
      <c r="B27" s="20">
        <f>TOM_PRICE</f>
        <v>8800</v>
      </c>
      <c r="C27" s="29" t="s">
        <v>102</v>
      </c>
      <c r="D27" s="29"/>
      <c r="E27" s="29"/>
      <c r="F27" s="29"/>
      <c r="G27" s="29"/>
      <c r="H27" s="29"/>
    </row>
    <row r="29" spans="1:11" x14ac:dyDescent="0.2">
      <c r="A29" s="30" t="s">
        <v>103</v>
      </c>
      <c r="B29" s="30"/>
      <c r="C29" s="30"/>
      <c r="D29" s="30"/>
      <c r="E29" s="30"/>
      <c r="F29" s="30"/>
      <c r="G29" s="30"/>
      <c r="H29" s="30"/>
    </row>
    <row r="30" spans="1:11" ht="30" x14ac:dyDescent="0.2">
      <c r="A30" s="4" t="s">
        <v>93</v>
      </c>
      <c r="B30" s="4" t="s">
        <v>94</v>
      </c>
      <c r="C30" s="4" t="s">
        <v>95</v>
      </c>
      <c r="D30" s="4" t="s">
        <v>96</v>
      </c>
      <c r="E30" s="4" t="s">
        <v>97</v>
      </c>
      <c r="F30" s="4" t="s">
        <v>98</v>
      </c>
      <c r="G30" s="4" t="s">
        <v>99</v>
      </c>
      <c r="H30" s="4" t="s">
        <v>100</v>
      </c>
    </row>
    <row r="31" spans="1:11" x14ac:dyDescent="0.2">
      <c r="A31" s="18">
        <v>0</v>
      </c>
      <c r="B31" s="13">
        <f t="shared" ref="B31:B51" si="7">A31*CAR_HRS_PER_BED*WEEKS*(1+CAR_DIM_RET)^A31</f>
        <v>0</v>
      </c>
      <c r="C31" s="13">
        <f t="shared" ref="C31:C51" si="8">MIN(B31,FARM_AVAIL_HRS)</f>
        <v>0</v>
      </c>
      <c r="D31" s="13">
        <f t="shared" ref="D31:D51" si="9">MAX(B31-FARM_AVAIL_HRS,0)</f>
        <v>0</v>
      </c>
      <c r="E31" s="16">
        <f t="shared" ref="E31:E51" si="10">C31*FARM_RATE+D31*TEMP_RATE</f>
        <v>0</v>
      </c>
      <c r="F31" s="17">
        <f t="shared" ref="F31:F51" si="11">A31*CAR_FERT</f>
        <v>0</v>
      </c>
      <c r="G31" s="16">
        <f t="shared" ref="G31:G51" si="12">E31+F31</f>
        <v>0</v>
      </c>
      <c r="H31" s="18"/>
      <c r="J31">
        <v>0</v>
      </c>
      <c r="K31">
        <v>2094</v>
      </c>
    </row>
    <row r="32" spans="1:11" x14ac:dyDescent="0.2">
      <c r="A32" s="18">
        <v>1</v>
      </c>
      <c r="B32" s="13">
        <f t="shared" si="7"/>
        <v>30.749999999999996</v>
      </c>
      <c r="C32" s="13">
        <f t="shared" si="8"/>
        <v>30.749999999999996</v>
      </c>
      <c r="D32" s="13">
        <f t="shared" si="9"/>
        <v>0</v>
      </c>
      <c r="E32" s="16">
        <f t="shared" si="10"/>
        <v>1067.7083333333333</v>
      </c>
      <c r="F32" s="17">
        <f t="shared" si="11"/>
        <v>440</v>
      </c>
      <c r="G32" s="16">
        <f t="shared" si="12"/>
        <v>1507.7083333333333</v>
      </c>
      <c r="H32" s="16">
        <f t="shared" ref="H32:H51" si="13">G32-G31</f>
        <v>1507.7083333333333</v>
      </c>
      <c r="J32">
        <v>20</v>
      </c>
      <c r="K32">
        <v>2094</v>
      </c>
    </row>
    <row r="33" spans="1:8" x14ac:dyDescent="0.2">
      <c r="A33" s="18">
        <v>2</v>
      </c>
      <c r="B33" s="13">
        <f t="shared" si="7"/>
        <v>63.037499999999994</v>
      </c>
      <c r="C33" s="13">
        <f t="shared" si="8"/>
        <v>63.037499999999994</v>
      </c>
      <c r="D33" s="13">
        <f t="shared" si="9"/>
        <v>0</v>
      </c>
      <c r="E33" s="16">
        <f t="shared" si="10"/>
        <v>2188.802083333333</v>
      </c>
      <c r="F33" s="17">
        <f t="shared" si="11"/>
        <v>880</v>
      </c>
      <c r="G33" s="16">
        <f t="shared" si="12"/>
        <v>3068.802083333333</v>
      </c>
      <c r="H33" s="16">
        <f t="shared" si="13"/>
        <v>1561.0937499999998</v>
      </c>
    </row>
    <row r="34" spans="1:8" x14ac:dyDescent="0.2">
      <c r="A34" s="18">
        <v>3</v>
      </c>
      <c r="B34" s="13">
        <f t="shared" si="7"/>
        <v>96.920156249999991</v>
      </c>
      <c r="C34" s="13">
        <f t="shared" si="8"/>
        <v>96.920156249999991</v>
      </c>
      <c r="D34" s="13">
        <f t="shared" si="9"/>
        <v>0</v>
      </c>
      <c r="E34" s="16">
        <f t="shared" si="10"/>
        <v>3365.2832031249995</v>
      </c>
      <c r="F34" s="17">
        <f t="shared" si="11"/>
        <v>1320</v>
      </c>
      <c r="G34" s="16">
        <f t="shared" si="12"/>
        <v>4685.283203125</v>
      </c>
      <c r="H34" s="16">
        <f t="shared" si="13"/>
        <v>1616.481119791667</v>
      </c>
    </row>
    <row r="35" spans="1:8" x14ac:dyDescent="0.2">
      <c r="A35" s="18">
        <v>4</v>
      </c>
      <c r="B35" s="13">
        <f t="shared" si="7"/>
        <v>132.45754687499996</v>
      </c>
      <c r="C35" s="13">
        <f t="shared" si="8"/>
        <v>132.45754687499996</v>
      </c>
      <c r="D35" s="13">
        <f t="shared" si="9"/>
        <v>0</v>
      </c>
      <c r="E35" s="16">
        <f t="shared" si="10"/>
        <v>4599.2203776041652</v>
      </c>
      <c r="F35" s="17">
        <f t="shared" si="11"/>
        <v>1760</v>
      </c>
      <c r="G35" s="16">
        <f t="shared" si="12"/>
        <v>6359.2203776041652</v>
      </c>
      <c r="H35" s="16">
        <f t="shared" si="13"/>
        <v>1673.9371744791652</v>
      </c>
    </row>
    <row r="36" spans="1:8" x14ac:dyDescent="0.2">
      <c r="A36" s="18">
        <v>5</v>
      </c>
      <c r="B36" s="13">
        <f t="shared" si="7"/>
        <v>169.71123193359369</v>
      </c>
      <c r="C36" s="13">
        <f t="shared" si="8"/>
        <v>169.71123193359369</v>
      </c>
      <c r="D36" s="13">
        <f t="shared" si="9"/>
        <v>0</v>
      </c>
      <c r="E36" s="16">
        <f t="shared" si="10"/>
        <v>5892.7511088053361</v>
      </c>
      <c r="F36" s="17">
        <f t="shared" si="11"/>
        <v>2200</v>
      </c>
      <c r="G36" s="16">
        <f t="shared" si="12"/>
        <v>8092.7511088053361</v>
      </c>
      <c r="H36" s="16">
        <f t="shared" si="13"/>
        <v>1733.530731201171</v>
      </c>
    </row>
    <row r="37" spans="1:8" x14ac:dyDescent="0.2">
      <c r="A37" s="18">
        <v>6</v>
      </c>
      <c r="B37" s="13">
        <f t="shared" si="7"/>
        <v>208.74481527832023</v>
      </c>
      <c r="C37" s="13">
        <f t="shared" si="8"/>
        <v>208.74481527832023</v>
      </c>
      <c r="D37" s="13">
        <f t="shared" si="9"/>
        <v>0</v>
      </c>
      <c r="E37" s="16">
        <f t="shared" si="10"/>
        <v>7248.0838638305631</v>
      </c>
      <c r="F37" s="17">
        <f t="shared" si="11"/>
        <v>2640</v>
      </c>
      <c r="G37" s="16">
        <f t="shared" si="12"/>
        <v>9888.0838638305631</v>
      </c>
      <c r="H37" s="16">
        <f t="shared" si="13"/>
        <v>1795.332755025227</v>
      </c>
    </row>
    <row r="38" spans="1:8" x14ac:dyDescent="0.2">
      <c r="A38" s="18">
        <v>7</v>
      </c>
      <c r="B38" s="13">
        <f t="shared" si="7"/>
        <v>249.62400827032465</v>
      </c>
      <c r="C38" s="13">
        <f t="shared" si="8"/>
        <v>249.62400827032465</v>
      </c>
      <c r="D38" s="13">
        <f t="shared" si="9"/>
        <v>0</v>
      </c>
      <c r="E38" s="16">
        <f t="shared" si="10"/>
        <v>8667.50028716405</v>
      </c>
      <c r="F38" s="17">
        <f t="shared" si="11"/>
        <v>3080</v>
      </c>
      <c r="G38" s="16">
        <f t="shared" si="12"/>
        <v>11747.50028716405</v>
      </c>
      <c r="H38" s="16">
        <f t="shared" si="13"/>
        <v>1859.4164233334868</v>
      </c>
    </row>
    <row r="39" spans="1:8" x14ac:dyDescent="0.2">
      <c r="A39" s="18">
        <v>8</v>
      </c>
      <c r="B39" s="13">
        <f t="shared" si="7"/>
        <v>292.41669540238024</v>
      </c>
      <c r="C39" s="13">
        <f t="shared" si="8"/>
        <v>292.41669540238024</v>
      </c>
      <c r="D39" s="13">
        <f t="shared" si="9"/>
        <v>0</v>
      </c>
      <c r="E39" s="16">
        <f t="shared" si="10"/>
        <v>10153.357479249315</v>
      </c>
      <c r="F39" s="17">
        <f t="shared" si="11"/>
        <v>3520</v>
      </c>
      <c r="G39" s="16">
        <f t="shared" si="12"/>
        <v>13673.357479249315</v>
      </c>
      <c r="H39" s="16">
        <f t="shared" si="13"/>
        <v>1925.8571920852646</v>
      </c>
    </row>
    <row r="40" spans="1:8" x14ac:dyDescent="0.2">
      <c r="A40" s="18">
        <v>9</v>
      </c>
      <c r="B40" s="13">
        <f t="shared" si="7"/>
        <v>337.19300188586965</v>
      </c>
      <c r="C40" s="13">
        <f t="shared" si="8"/>
        <v>337.19300188586965</v>
      </c>
      <c r="D40" s="13">
        <f t="shared" si="9"/>
        <v>0</v>
      </c>
      <c r="E40" s="16">
        <f t="shared" si="10"/>
        <v>11708.090343259362</v>
      </c>
      <c r="F40" s="17">
        <f t="shared" si="11"/>
        <v>3960</v>
      </c>
      <c r="G40" s="16">
        <f t="shared" si="12"/>
        <v>15668.090343259362</v>
      </c>
      <c r="H40" s="16">
        <f t="shared" si="13"/>
        <v>1994.7328640100477</v>
      </c>
    </row>
    <row r="41" spans="1:8" x14ac:dyDescent="0.2">
      <c r="A41" s="18">
        <v>10</v>
      </c>
      <c r="B41" s="13">
        <f t="shared" si="7"/>
        <v>384.02536325890713</v>
      </c>
      <c r="C41" s="13">
        <f t="shared" si="8"/>
        <v>384.02536325890713</v>
      </c>
      <c r="D41" s="13">
        <f t="shared" si="9"/>
        <v>0</v>
      </c>
      <c r="E41" s="16">
        <f t="shared" si="10"/>
        <v>13334.214002045386</v>
      </c>
      <c r="F41" s="17">
        <f t="shared" si="11"/>
        <v>4400</v>
      </c>
      <c r="G41" s="16">
        <f t="shared" si="12"/>
        <v>17734.214002045388</v>
      </c>
      <c r="H41" s="16">
        <f t="shared" si="13"/>
        <v>2066.1236587860258</v>
      </c>
    </row>
    <row r="42" spans="1:8" x14ac:dyDescent="0.2">
      <c r="A42" s="18">
        <v>11</v>
      </c>
      <c r="B42" s="13">
        <f t="shared" si="7"/>
        <v>432.98859707441784</v>
      </c>
      <c r="C42" s="13">
        <f t="shared" si="8"/>
        <v>432.98859707441784</v>
      </c>
      <c r="D42" s="13">
        <f t="shared" si="9"/>
        <v>0</v>
      </c>
      <c r="E42" s="16">
        <f t="shared" si="10"/>
        <v>15034.326287306174</v>
      </c>
      <c r="F42" s="17">
        <f t="shared" si="11"/>
        <v>4840</v>
      </c>
      <c r="G42" s="16">
        <f t="shared" si="12"/>
        <v>19874.326287306176</v>
      </c>
      <c r="H42" s="16">
        <f t="shared" si="13"/>
        <v>2140.1122852607878</v>
      </c>
    </row>
    <row r="43" spans="1:8" x14ac:dyDescent="0.2">
      <c r="A43" s="18">
        <v>12</v>
      </c>
      <c r="B43" s="13">
        <f t="shared" si="7"/>
        <v>484.15997672866712</v>
      </c>
      <c r="C43" s="13">
        <f t="shared" si="8"/>
        <v>484.15997672866712</v>
      </c>
      <c r="D43" s="13">
        <f t="shared" si="9"/>
        <v>0</v>
      </c>
      <c r="E43" s="16">
        <f t="shared" si="10"/>
        <v>16811.11030307872</v>
      </c>
      <c r="F43" s="17">
        <f t="shared" si="11"/>
        <v>5280</v>
      </c>
      <c r="G43" s="16">
        <f t="shared" si="12"/>
        <v>22091.11030307872</v>
      </c>
      <c r="H43" s="16">
        <f t="shared" si="13"/>
        <v>2216.7840157725441</v>
      </c>
    </row>
    <row r="44" spans="1:8" x14ac:dyDescent="0.2">
      <c r="A44" s="18">
        <v>13</v>
      </c>
      <c r="B44" s="13">
        <f t="shared" si="7"/>
        <v>537.61930749245744</v>
      </c>
      <c r="C44" s="13">
        <f t="shared" si="8"/>
        <v>537.61930749245744</v>
      </c>
      <c r="D44" s="13">
        <f t="shared" si="9"/>
        <v>0</v>
      </c>
      <c r="E44" s="16">
        <f t="shared" si="10"/>
        <v>18667.337065710326</v>
      </c>
      <c r="F44" s="17">
        <f t="shared" si="11"/>
        <v>5720</v>
      </c>
      <c r="G44" s="16">
        <f t="shared" si="12"/>
        <v>24387.337065710326</v>
      </c>
      <c r="H44" s="16">
        <f t="shared" si="13"/>
        <v>2296.2267626316061</v>
      </c>
    </row>
    <row r="45" spans="1:8" x14ac:dyDescent="0.2">
      <c r="A45" s="18">
        <v>14</v>
      </c>
      <c r="B45" s="13">
        <f t="shared" si="7"/>
        <v>593.44900480898184</v>
      </c>
      <c r="C45" s="13">
        <f t="shared" si="8"/>
        <v>593.44900480898184</v>
      </c>
      <c r="D45" s="13">
        <f t="shared" si="9"/>
        <v>0</v>
      </c>
      <c r="E45" s="16">
        <f t="shared" si="10"/>
        <v>20605.868222534093</v>
      </c>
      <c r="F45" s="17">
        <f t="shared" si="11"/>
        <v>6160</v>
      </c>
      <c r="G45" s="16">
        <f t="shared" si="12"/>
        <v>26765.868222534093</v>
      </c>
      <c r="H45" s="16">
        <f t="shared" si="13"/>
        <v>2378.5311568237667</v>
      </c>
    </row>
    <row r="46" spans="1:8" x14ac:dyDescent="0.2">
      <c r="A46" s="18">
        <v>15</v>
      </c>
      <c r="B46" s="13">
        <f t="shared" si="7"/>
        <v>651.73417492414967</v>
      </c>
      <c r="C46" s="13">
        <f t="shared" si="8"/>
        <v>651.73417492414967</v>
      </c>
      <c r="D46" s="13">
        <f t="shared" si="9"/>
        <v>0</v>
      </c>
      <c r="E46" s="16">
        <f t="shared" si="10"/>
        <v>22629.658851532975</v>
      </c>
      <c r="F46" s="17">
        <f t="shared" si="11"/>
        <v>6600</v>
      </c>
      <c r="G46" s="16">
        <f t="shared" si="12"/>
        <v>29229.658851532975</v>
      </c>
      <c r="H46" s="16">
        <f t="shared" si="13"/>
        <v>2463.7906289988823</v>
      </c>
    </row>
    <row r="47" spans="1:8" x14ac:dyDescent="0.2">
      <c r="A47" s="18">
        <v>16</v>
      </c>
      <c r="B47" s="13">
        <f t="shared" si="7"/>
        <v>712.5626979170703</v>
      </c>
      <c r="C47" s="13">
        <f t="shared" si="8"/>
        <v>712.5626979170703</v>
      </c>
      <c r="D47" s="13">
        <f t="shared" si="9"/>
        <v>0</v>
      </c>
      <c r="E47" s="16">
        <f t="shared" si="10"/>
        <v>24741.760344342718</v>
      </c>
      <c r="F47" s="17">
        <f t="shared" si="11"/>
        <v>7040</v>
      </c>
      <c r="G47" s="16">
        <f t="shared" si="12"/>
        <v>31781.760344342718</v>
      </c>
      <c r="H47" s="16">
        <f t="shared" si="13"/>
        <v>2552.1014928097429</v>
      </c>
    </row>
    <row r="48" spans="1:8" x14ac:dyDescent="0.2">
      <c r="A48" s="18">
        <v>17</v>
      </c>
      <c r="B48" s="13">
        <f t="shared" si="7"/>
        <v>776.02531320030937</v>
      </c>
      <c r="C48" s="13">
        <f t="shared" si="8"/>
        <v>720</v>
      </c>
      <c r="D48" s="13">
        <f t="shared" si="9"/>
        <v>56.02531320030937</v>
      </c>
      <c r="E48" s="16">
        <f t="shared" si="10"/>
        <v>25972.66168750537</v>
      </c>
      <c r="F48" s="17">
        <f t="shared" si="11"/>
        <v>7480</v>
      </c>
      <c r="G48" s="16">
        <f t="shared" si="12"/>
        <v>33452.661687505373</v>
      </c>
      <c r="H48" s="16">
        <f t="shared" si="13"/>
        <v>1670.9013431626554</v>
      </c>
    </row>
    <row r="49" spans="1:11" x14ac:dyDescent="0.2">
      <c r="A49" s="18">
        <v>18</v>
      </c>
      <c r="B49" s="13">
        <f t="shared" si="7"/>
        <v>842.2157075615122</v>
      </c>
      <c r="C49" s="13">
        <f t="shared" si="8"/>
        <v>720</v>
      </c>
      <c r="D49" s="13">
        <f t="shared" si="9"/>
        <v>122.2157075615122</v>
      </c>
      <c r="E49" s="16">
        <f t="shared" si="10"/>
        <v>27121.800478498477</v>
      </c>
      <c r="F49" s="17">
        <f t="shared" si="11"/>
        <v>7920</v>
      </c>
      <c r="G49" s="16">
        <f t="shared" si="12"/>
        <v>35041.800478498481</v>
      </c>
      <c r="H49" s="16">
        <f t="shared" si="13"/>
        <v>1589.1387909931072</v>
      </c>
    </row>
    <row r="50" spans="1:11" x14ac:dyDescent="0.2">
      <c r="A50" s="18">
        <v>19</v>
      </c>
      <c r="B50" s="13">
        <f t="shared" si="7"/>
        <v>911.23060582002495</v>
      </c>
      <c r="C50" s="13">
        <f t="shared" si="8"/>
        <v>720</v>
      </c>
      <c r="D50" s="13">
        <f t="shared" si="9"/>
        <v>191.23060582002495</v>
      </c>
      <c r="E50" s="16">
        <f t="shared" si="10"/>
        <v>28319.975795486545</v>
      </c>
      <c r="F50" s="17">
        <f t="shared" si="11"/>
        <v>8360</v>
      </c>
      <c r="G50" s="16">
        <f t="shared" si="12"/>
        <v>36679.975795486549</v>
      </c>
      <c r="H50" s="16">
        <f t="shared" si="13"/>
        <v>1638.1753169880685</v>
      </c>
    </row>
    <row r="51" spans="1:11" x14ac:dyDescent="0.2">
      <c r="A51" s="18">
        <v>20</v>
      </c>
      <c r="B51" s="13">
        <f t="shared" si="7"/>
        <v>983.16986417423732</v>
      </c>
      <c r="C51" s="13">
        <f t="shared" si="8"/>
        <v>720</v>
      </c>
      <c r="D51" s="13">
        <f t="shared" si="9"/>
        <v>263.16986417423732</v>
      </c>
      <c r="E51" s="16">
        <f t="shared" si="10"/>
        <v>29568.921253024953</v>
      </c>
      <c r="F51" s="17">
        <f t="shared" si="11"/>
        <v>8800</v>
      </c>
      <c r="G51" s="16">
        <f t="shared" si="12"/>
        <v>38368.92125302495</v>
      </c>
      <c r="H51" s="16">
        <f t="shared" si="13"/>
        <v>1688.9454575384007</v>
      </c>
    </row>
    <row r="52" spans="1:11" x14ac:dyDescent="0.2">
      <c r="A52" s="19" t="s">
        <v>101</v>
      </c>
      <c r="B52" s="20">
        <f>CAR_PRICE</f>
        <v>2094</v>
      </c>
      <c r="C52" s="29" t="s">
        <v>102</v>
      </c>
      <c r="D52" s="29"/>
      <c r="E52" s="29"/>
      <c r="F52" s="29"/>
      <c r="G52" s="29"/>
      <c r="H52" s="29"/>
    </row>
    <row r="54" spans="1:11" x14ac:dyDescent="0.2">
      <c r="A54" s="30" t="s">
        <v>104</v>
      </c>
      <c r="B54" s="30"/>
      <c r="C54" s="30"/>
      <c r="D54" s="30"/>
      <c r="E54" s="30"/>
      <c r="F54" s="30"/>
      <c r="G54" s="30"/>
      <c r="H54" s="30"/>
    </row>
    <row r="55" spans="1:11" ht="30" x14ac:dyDescent="0.2">
      <c r="A55" s="4" t="s">
        <v>93</v>
      </c>
      <c r="B55" s="4" t="s">
        <v>94</v>
      </c>
      <c r="C55" s="4" t="s">
        <v>95</v>
      </c>
      <c r="D55" s="4" t="s">
        <v>96</v>
      </c>
      <c r="E55" s="4" t="s">
        <v>97</v>
      </c>
      <c r="F55" s="4" t="s">
        <v>98</v>
      </c>
      <c r="G55" s="4" t="s">
        <v>99</v>
      </c>
      <c r="H55" s="4" t="s">
        <v>100</v>
      </c>
    </row>
    <row r="56" spans="1:11" x14ac:dyDescent="0.2">
      <c r="A56" s="18">
        <v>0</v>
      </c>
      <c r="B56" s="13">
        <f t="shared" ref="B56:B86" si="14">A56*MES_HRS_PER_BED*WEEKS*(1+MES_DIM_RET)^A56</f>
        <v>0</v>
      </c>
      <c r="C56" s="13">
        <f t="shared" ref="C56:C86" si="15">MIN(B56,FARM_AVAIL_HRS)</f>
        <v>0</v>
      </c>
      <c r="D56" s="13">
        <f t="shared" ref="D56:D86" si="16">MAX(B56-FARM_AVAIL_HRS,0)</f>
        <v>0</v>
      </c>
      <c r="E56" s="16">
        <f t="shared" ref="E56:E86" si="17">C56*FARM_RATE+D56*TEMP_RATE</f>
        <v>0</v>
      </c>
      <c r="F56" s="17">
        <f t="shared" ref="F56:F86" si="18">A56*MES_FERT</f>
        <v>0</v>
      </c>
      <c r="G56" s="16">
        <f t="shared" ref="G56:G86" si="19">E56+F56</f>
        <v>0</v>
      </c>
      <c r="H56" s="18"/>
      <c r="J56">
        <v>1</v>
      </c>
      <c r="K56">
        <v>2700</v>
      </c>
    </row>
    <row r="57" spans="1:11" x14ac:dyDescent="0.2">
      <c r="A57" s="18">
        <v>1</v>
      </c>
      <c r="B57" s="13">
        <f t="shared" si="14"/>
        <v>45.5625</v>
      </c>
      <c r="C57" s="13">
        <f t="shared" si="15"/>
        <v>45.5625</v>
      </c>
      <c r="D57" s="13">
        <f t="shared" si="16"/>
        <v>0</v>
      </c>
      <c r="E57" s="16">
        <f t="shared" si="17"/>
        <v>1582.03125</v>
      </c>
      <c r="F57" s="17">
        <f t="shared" si="18"/>
        <v>880</v>
      </c>
      <c r="G57" s="16">
        <f t="shared" si="19"/>
        <v>2462.03125</v>
      </c>
      <c r="H57" s="16">
        <f t="shared" ref="H57:H86" si="20">G57-G56</f>
        <v>2462.03125</v>
      </c>
      <c r="J57">
        <v>30</v>
      </c>
      <c r="K57">
        <v>2700</v>
      </c>
    </row>
    <row r="58" spans="1:11" x14ac:dyDescent="0.2">
      <c r="A58" s="18">
        <v>2</v>
      </c>
      <c r="B58" s="13">
        <f t="shared" si="14"/>
        <v>92.264062499999994</v>
      </c>
      <c r="C58" s="13">
        <f t="shared" si="15"/>
        <v>92.264062499999994</v>
      </c>
      <c r="D58" s="13">
        <f t="shared" si="16"/>
        <v>0</v>
      </c>
      <c r="E58" s="16">
        <f t="shared" si="17"/>
        <v>3203.6132812499995</v>
      </c>
      <c r="F58" s="17">
        <f t="shared" si="18"/>
        <v>1760</v>
      </c>
      <c r="G58" s="16">
        <f t="shared" si="19"/>
        <v>4963.61328125</v>
      </c>
      <c r="H58" s="16">
        <f t="shared" si="20"/>
        <v>2501.58203125</v>
      </c>
    </row>
    <row r="59" spans="1:11" x14ac:dyDescent="0.2">
      <c r="A59" s="18">
        <v>3</v>
      </c>
      <c r="B59" s="13">
        <f t="shared" si="14"/>
        <v>140.12604492187498</v>
      </c>
      <c r="C59" s="13">
        <f t="shared" si="15"/>
        <v>140.12604492187498</v>
      </c>
      <c r="D59" s="13">
        <f t="shared" si="16"/>
        <v>0</v>
      </c>
      <c r="E59" s="16">
        <f t="shared" si="17"/>
        <v>4865.4876708984366</v>
      </c>
      <c r="F59" s="17">
        <f t="shared" si="18"/>
        <v>2640</v>
      </c>
      <c r="G59" s="16">
        <f t="shared" si="19"/>
        <v>7505.4876708984366</v>
      </c>
      <c r="H59" s="16">
        <f t="shared" si="20"/>
        <v>2541.8743896484366</v>
      </c>
    </row>
    <row r="60" spans="1:11" x14ac:dyDescent="0.2">
      <c r="A60" s="18">
        <v>4</v>
      </c>
      <c r="B60" s="13">
        <f t="shared" si="14"/>
        <v>189.17016064453125</v>
      </c>
      <c r="C60" s="13">
        <f t="shared" si="15"/>
        <v>189.17016064453125</v>
      </c>
      <c r="D60" s="13">
        <f t="shared" si="16"/>
        <v>0</v>
      </c>
      <c r="E60" s="16">
        <f t="shared" si="17"/>
        <v>6568.4083557128906</v>
      </c>
      <c r="F60" s="17">
        <f t="shared" si="18"/>
        <v>3520</v>
      </c>
      <c r="G60" s="16">
        <f t="shared" si="19"/>
        <v>10088.408355712891</v>
      </c>
      <c r="H60" s="16">
        <f t="shared" si="20"/>
        <v>2582.920684814454</v>
      </c>
    </row>
    <row r="61" spans="1:11" x14ac:dyDescent="0.2">
      <c r="A61" s="18">
        <v>5</v>
      </c>
      <c r="B61" s="13">
        <f t="shared" si="14"/>
        <v>239.41848456573481</v>
      </c>
      <c r="C61" s="13">
        <f t="shared" si="15"/>
        <v>239.41848456573481</v>
      </c>
      <c r="D61" s="13">
        <f t="shared" si="16"/>
        <v>0</v>
      </c>
      <c r="E61" s="16">
        <f t="shared" si="17"/>
        <v>8313.1418251991254</v>
      </c>
      <c r="F61" s="17">
        <f t="shared" si="18"/>
        <v>4400</v>
      </c>
      <c r="G61" s="16">
        <f t="shared" si="19"/>
        <v>12713.141825199125</v>
      </c>
      <c r="H61" s="16">
        <f t="shared" si="20"/>
        <v>2624.7334694862348</v>
      </c>
    </row>
    <row r="62" spans="1:11" x14ac:dyDescent="0.2">
      <c r="A62" s="18">
        <v>6</v>
      </c>
      <c r="B62" s="13">
        <f t="shared" si="14"/>
        <v>290.89345874736784</v>
      </c>
      <c r="C62" s="13">
        <f t="shared" si="15"/>
        <v>290.89345874736784</v>
      </c>
      <c r="D62" s="13">
        <f t="shared" si="16"/>
        <v>0</v>
      </c>
      <c r="E62" s="16">
        <f t="shared" si="17"/>
        <v>10100.467317616938</v>
      </c>
      <c r="F62" s="17">
        <f t="shared" si="18"/>
        <v>5280</v>
      </c>
      <c r="G62" s="16">
        <f t="shared" si="19"/>
        <v>15380.467317616938</v>
      </c>
      <c r="H62" s="16">
        <f t="shared" si="20"/>
        <v>2667.3254924178127</v>
      </c>
    </row>
    <row r="63" spans="1:11" x14ac:dyDescent="0.2">
      <c r="A63" s="18">
        <v>7</v>
      </c>
      <c r="B63" s="13">
        <f t="shared" si="14"/>
        <v>343.61789814532818</v>
      </c>
      <c r="C63" s="13">
        <f t="shared" si="15"/>
        <v>343.61789814532818</v>
      </c>
      <c r="D63" s="13">
        <f t="shared" si="16"/>
        <v>0</v>
      </c>
      <c r="E63" s="16">
        <f t="shared" si="17"/>
        <v>11931.177018935006</v>
      </c>
      <c r="F63" s="17">
        <f t="shared" si="18"/>
        <v>6160</v>
      </c>
      <c r="G63" s="16">
        <f t="shared" si="19"/>
        <v>18091.177018935006</v>
      </c>
      <c r="H63" s="16">
        <f t="shared" si="20"/>
        <v>2710.7097013180683</v>
      </c>
    </row>
    <row r="64" spans="1:11" x14ac:dyDescent="0.2">
      <c r="A64" s="18">
        <v>8</v>
      </c>
      <c r="B64" s="13">
        <f t="shared" si="14"/>
        <v>397.61499642530839</v>
      </c>
      <c r="C64" s="13">
        <f t="shared" si="15"/>
        <v>397.61499642530839</v>
      </c>
      <c r="D64" s="13">
        <f t="shared" si="16"/>
        <v>0</v>
      </c>
      <c r="E64" s="16">
        <f t="shared" si="17"/>
        <v>13806.076264767653</v>
      </c>
      <c r="F64" s="17">
        <f t="shared" si="18"/>
        <v>7040</v>
      </c>
      <c r="G64" s="16">
        <f t="shared" si="19"/>
        <v>20846.076264767653</v>
      </c>
      <c r="H64" s="16">
        <f t="shared" si="20"/>
        <v>2754.8992458326466</v>
      </c>
    </row>
    <row r="65" spans="1:8" x14ac:dyDescent="0.2">
      <c r="A65" s="18">
        <v>9</v>
      </c>
      <c r="B65" s="13">
        <f t="shared" si="14"/>
        <v>452.90833186570285</v>
      </c>
      <c r="C65" s="13">
        <f t="shared" si="15"/>
        <v>452.90833186570285</v>
      </c>
      <c r="D65" s="13">
        <f t="shared" si="16"/>
        <v>0</v>
      </c>
      <c r="E65" s="16">
        <f t="shared" si="17"/>
        <v>15725.983745336904</v>
      </c>
      <c r="F65" s="17">
        <f t="shared" si="18"/>
        <v>7920</v>
      </c>
      <c r="G65" s="16">
        <f t="shared" si="19"/>
        <v>23645.983745336904</v>
      </c>
      <c r="H65" s="16">
        <f t="shared" si="20"/>
        <v>2799.9074805692508</v>
      </c>
    </row>
    <row r="66" spans="1:8" x14ac:dyDescent="0.2">
      <c r="A66" s="18">
        <v>10</v>
      </c>
      <c r="B66" s="13">
        <f t="shared" si="14"/>
        <v>509.52187334891573</v>
      </c>
      <c r="C66" s="13">
        <f t="shared" si="15"/>
        <v>509.52187334891573</v>
      </c>
      <c r="D66" s="13">
        <f t="shared" si="16"/>
        <v>0</v>
      </c>
      <c r="E66" s="16">
        <f t="shared" si="17"/>
        <v>17691.731713504018</v>
      </c>
      <c r="F66" s="17">
        <f t="shared" si="18"/>
        <v>8800</v>
      </c>
      <c r="G66" s="16">
        <f t="shared" si="19"/>
        <v>26491.731713504018</v>
      </c>
      <c r="H66" s="16">
        <f t="shared" si="20"/>
        <v>2845.7479681671139</v>
      </c>
    </row>
    <row r="67" spans="1:8" x14ac:dyDescent="0.2">
      <c r="A67" s="18">
        <v>11</v>
      </c>
      <c r="B67" s="13">
        <f t="shared" si="14"/>
        <v>567.47998644235474</v>
      </c>
      <c r="C67" s="13">
        <f t="shared" si="15"/>
        <v>567.47998644235474</v>
      </c>
      <c r="D67" s="13">
        <f t="shared" si="16"/>
        <v>0</v>
      </c>
      <c r="E67" s="16">
        <f t="shared" si="17"/>
        <v>19704.166195915095</v>
      </c>
      <c r="F67" s="17">
        <f t="shared" si="18"/>
        <v>9680</v>
      </c>
      <c r="G67" s="16">
        <f t="shared" si="19"/>
        <v>29384.166195915095</v>
      </c>
      <c r="H67" s="16">
        <f t="shared" si="20"/>
        <v>2892.4344824110776</v>
      </c>
    </row>
    <row r="68" spans="1:8" x14ac:dyDescent="0.2">
      <c r="A68" s="18">
        <v>12</v>
      </c>
      <c r="B68" s="13">
        <f t="shared" si="14"/>
        <v>626.80743957041921</v>
      </c>
      <c r="C68" s="13">
        <f t="shared" si="15"/>
        <v>626.80743957041921</v>
      </c>
      <c r="D68" s="13">
        <f t="shared" si="16"/>
        <v>0</v>
      </c>
      <c r="E68" s="16">
        <f t="shared" si="17"/>
        <v>21764.147207306221</v>
      </c>
      <c r="F68" s="17">
        <f t="shared" si="18"/>
        <v>10560</v>
      </c>
      <c r="G68" s="16">
        <f t="shared" si="19"/>
        <v>32324.147207306221</v>
      </c>
      <c r="H68" s="16">
        <f t="shared" si="20"/>
        <v>2939.9810113911262</v>
      </c>
    </row>
    <row r="69" spans="1:8" x14ac:dyDescent="0.2">
      <c r="A69" s="18">
        <v>13</v>
      </c>
      <c r="B69" s="13">
        <f t="shared" si="14"/>
        <v>687.52941027880343</v>
      </c>
      <c r="C69" s="13">
        <f t="shared" si="15"/>
        <v>687.52941027880343</v>
      </c>
      <c r="D69" s="13">
        <f t="shared" si="16"/>
        <v>0</v>
      </c>
      <c r="E69" s="16">
        <f t="shared" si="17"/>
        <v>23872.548968014009</v>
      </c>
      <c r="F69" s="17">
        <f t="shared" si="18"/>
        <v>11440</v>
      </c>
      <c r="G69" s="16">
        <f t="shared" si="19"/>
        <v>35312.548968014009</v>
      </c>
      <c r="H69" s="16">
        <f t="shared" si="20"/>
        <v>2988.4017607077876</v>
      </c>
    </row>
    <row r="70" spans="1:8" x14ac:dyDescent="0.2">
      <c r="A70" s="18">
        <v>14</v>
      </c>
      <c r="B70" s="13">
        <f t="shared" si="14"/>
        <v>749.67149159246469</v>
      </c>
      <c r="C70" s="13">
        <f t="shared" si="15"/>
        <v>720</v>
      </c>
      <c r="D70" s="13">
        <f t="shared" si="16"/>
        <v>29.67149159246469</v>
      </c>
      <c r="E70" s="16">
        <f t="shared" si="17"/>
        <v>25515.130062369179</v>
      </c>
      <c r="F70" s="17">
        <f t="shared" si="18"/>
        <v>12320</v>
      </c>
      <c r="G70" s="16">
        <f t="shared" si="19"/>
        <v>37835.130062369179</v>
      </c>
      <c r="H70" s="16">
        <f t="shared" si="20"/>
        <v>2522.5810943551696</v>
      </c>
    </row>
    <row r="71" spans="1:8" x14ac:dyDescent="0.2">
      <c r="A71" s="18">
        <v>15</v>
      </c>
      <c r="B71" s="13">
        <f t="shared" si="14"/>
        <v>813.25969846861108</v>
      </c>
      <c r="C71" s="13">
        <f t="shared" si="15"/>
        <v>720</v>
      </c>
      <c r="D71" s="13">
        <f t="shared" si="16"/>
        <v>93.259698468611077</v>
      </c>
      <c r="E71" s="16">
        <f t="shared" si="17"/>
        <v>26619.091987302276</v>
      </c>
      <c r="F71" s="17">
        <f t="shared" si="18"/>
        <v>13200</v>
      </c>
      <c r="G71" s="16">
        <f t="shared" si="19"/>
        <v>39819.091987302279</v>
      </c>
      <c r="H71" s="16">
        <f t="shared" si="20"/>
        <v>1983.9619249331008</v>
      </c>
    </row>
    <row r="72" spans="1:8" x14ac:dyDescent="0.2">
      <c r="A72" s="18">
        <v>16</v>
      </c>
      <c r="B72" s="13">
        <f t="shared" si="14"/>
        <v>878.32047434610013</v>
      </c>
      <c r="C72" s="13">
        <f t="shared" si="15"/>
        <v>720</v>
      </c>
      <c r="D72" s="13">
        <f t="shared" si="16"/>
        <v>158.32047434610013</v>
      </c>
      <c r="E72" s="16">
        <f t="shared" si="17"/>
        <v>27748.619346286461</v>
      </c>
      <c r="F72" s="17">
        <f t="shared" si="18"/>
        <v>14080</v>
      </c>
      <c r="G72" s="16">
        <f t="shared" si="19"/>
        <v>41828.619346286461</v>
      </c>
      <c r="H72" s="16">
        <f t="shared" si="20"/>
        <v>2009.5273589841818</v>
      </c>
    </row>
    <row r="73" spans="1:8" x14ac:dyDescent="0.2">
      <c r="A73" s="18">
        <v>17</v>
      </c>
      <c r="B73" s="13">
        <f t="shared" si="14"/>
        <v>944.88069779264049</v>
      </c>
      <c r="C73" s="13">
        <f t="shared" si="15"/>
        <v>720</v>
      </c>
      <c r="D73" s="13">
        <f t="shared" si="16"/>
        <v>224.88069779264049</v>
      </c>
      <c r="E73" s="16">
        <f t="shared" si="17"/>
        <v>28904.178781122231</v>
      </c>
      <c r="F73" s="17">
        <f t="shared" si="18"/>
        <v>14960</v>
      </c>
      <c r="G73" s="16">
        <f t="shared" si="19"/>
        <v>43864.178781122231</v>
      </c>
      <c r="H73" s="16">
        <f t="shared" si="20"/>
        <v>2035.5594348357699</v>
      </c>
    </row>
    <row r="74" spans="1:8" x14ac:dyDescent="0.2">
      <c r="A74" s="18">
        <v>18</v>
      </c>
      <c r="B74" s="13">
        <f t="shared" si="14"/>
        <v>1012.9676892512279</v>
      </c>
      <c r="C74" s="13">
        <f t="shared" si="15"/>
        <v>720</v>
      </c>
      <c r="D74" s="13">
        <f t="shared" si="16"/>
        <v>292.96768925122785</v>
      </c>
      <c r="E74" s="16">
        <f t="shared" si="17"/>
        <v>30086.244605056039</v>
      </c>
      <c r="F74" s="17">
        <f t="shared" si="18"/>
        <v>15840</v>
      </c>
      <c r="G74" s="16">
        <f t="shared" si="19"/>
        <v>45926.244605056039</v>
      </c>
      <c r="H74" s="16">
        <f t="shared" si="20"/>
        <v>2062.0658239338081</v>
      </c>
    </row>
    <row r="75" spans="1:8" x14ac:dyDescent="0.2">
      <c r="A75" s="18">
        <v>19</v>
      </c>
      <c r="B75" s="13">
        <f t="shared" si="14"/>
        <v>1082.6092178872495</v>
      </c>
      <c r="C75" s="13">
        <f t="shared" si="15"/>
        <v>720</v>
      </c>
      <c r="D75" s="13">
        <f t="shared" si="16"/>
        <v>362.60921788724954</v>
      </c>
      <c r="E75" s="16">
        <f t="shared" si="17"/>
        <v>31295.298921653637</v>
      </c>
      <c r="F75" s="17">
        <f t="shared" si="18"/>
        <v>16720</v>
      </c>
      <c r="G75" s="16">
        <f t="shared" si="19"/>
        <v>48015.298921653637</v>
      </c>
      <c r="H75" s="16">
        <f t="shared" si="20"/>
        <v>2089.0543165975978</v>
      </c>
    </row>
    <row r="76" spans="1:8" x14ac:dyDescent="0.2">
      <c r="A76" s="18">
        <v>20</v>
      </c>
      <c r="B76" s="13">
        <f t="shared" si="14"/>
        <v>1153.8335085377266</v>
      </c>
      <c r="C76" s="13">
        <f t="shared" si="15"/>
        <v>720</v>
      </c>
      <c r="D76" s="13">
        <f t="shared" si="16"/>
        <v>433.83350853772663</v>
      </c>
      <c r="E76" s="16">
        <f t="shared" si="17"/>
        <v>32531.831745446641</v>
      </c>
      <c r="F76" s="17">
        <f t="shared" si="18"/>
        <v>17600</v>
      </c>
      <c r="G76" s="16">
        <f t="shared" si="19"/>
        <v>50131.831745446645</v>
      </c>
      <c r="H76" s="16">
        <f t="shared" si="20"/>
        <v>2116.532823793008</v>
      </c>
    </row>
    <row r="77" spans="1:8" x14ac:dyDescent="0.2">
      <c r="A77" s="18">
        <v>21</v>
      </c>
      <c r="B77" s="13">
        <f t="shared" si="14"/>
        <v>1226.6692487641703</v>
      </c>
      <c r="C77" s="13">
        <f t="shared" si="15"/>
        <v>720</v>
      </c>
      <c r="D77" s="13">
        <f t="shared" si="16"/>
        <v>506.66924876417033</v>
      </c>
      <c r="E77" s="16">
        <f t="shared" si="17"/>
        <v>33796.341124377956</v>
      </c>
      <c r="F77" s="17">
        <f t="shared" si="18"/>
        <v>18480</v>
      </c>
      <c r="G77" s="16">
        <f t="shared" si="19"/>
        <v>52276.341124377956</v>
      </c>
      <c r="H77" s="16">
        <f t="shared" si="20"/>
        <v>2144.5093789313105</v>
      </c>
    </row>
    <row r="78" spans="1:8" x14ac:dyDescent="0.2">
      <c r="A78" s="18">
        <v>22</v>
      </c>
      <c r="B78" s="13">
        <f t="shared" si="14"/>
        <v>1301.1455960105666</v>
      </c>
      <c r="C78" s="13">
        <f t="shared" si="15"/>
        <v>720</v>
      </c>
      <c r="D78" s="13">
        <f t="shared" si="16"/>
        <v>581.14559601056658</v>
      </c>
      <c r="E78" s="16">
        <f t="shared" si="17"/>
        <v>35089.333264072338</v>
      </c>
      <c r="F78" s="17">
        <f t="shared" si="18"/>
        <v>19360</v>
      </c>
      <c r="G78" s="16">
        <f t="shared" si="19"/>
        <v>54449.333264072338</v>
      </c>
      <c r="H78" s="16">
        <f t="shared" si="20"/>
        <v>2172.9921396943828</v>
      </c>
    </row>
    <row r="79" spans="1:8" x14ac:dyDescent="0.2">
      <c r="A79" s="18">
        <v>23</v>
      </c>
      <c r="B79" s="13">
        <f t="shared" si="14"/>
        <v>1377.292184868003</v>
      </c>
      <c r="C79" s="13">
        <f t="shared" si="15"/>
        <v>720</v>
      </c>
      <c r="D79" s="13">
        <f t="shared" si="16"/>
        <v>657.29218486800301</v>
      </c>
      <c r="E79" s="16">
        <f t="shared" si="17"/>
        <v>36411.322653958385</v>
      </c>
      <c r="F79" s="17">
        <f t="shared" si="18"/>
        <v>20240</v>
      </c>
      <c r="G79" s="16">
        <f t="shared" si="19"/>
        <v>56651.322653958385</v>
      </c>
      <c r="H79" s="16">
        <f t="shared" si="20"/>
        <v>2201.9893898860464</v>
      </c>
    </row>
    <row r="80" spans="1:8" x14ac:dyDescent="0.2">
      <c r="A80" s="18">
        <v>24</v>
      </c>
      <c r="B80" s="13">
        <f t="shared" si="14"/>
        <v>1455.1391344474989</v>
      </c>
      <c r="C80" s="13">
        <f t="shared" si="15"/>
        <v>720</v>
      </c>
      <c r="D80" s="13">
        <f t="shared" si="16"/>
        <v>735.13913444749892</v>
      </c>
      <c r="E80" s="16">
        <f t="shared" si="17"/>
        <v>37762.832195269075</v>
      </c>
      <c r="F80" s="17">
        <f t="shared" si="18"/>
        <v>21120</v>
      </c>
      <c r="G80" s="16">
        <f t="shared" si="19"/>
        <v>58882.832195269075</v>
      </c>
      <c r="H80" s="16">
        <f t="shared" si="20"/>
        <v>2231.5095413106901</v>
      </c>
    </row>
    <row r="81" spans="1:8" x14ac:dyDescent="0.2">
      <c r="A81" s="18">
        <v>25</v>
      </c>
      <c r="B81" s="13">
        <f t="shared" si="14"/>
        <v>1534.7170558625965</v>
      </c>
      <c r="C81" s="13">
        <f t="shared" si="15"/>
        <v>720</v>
      </c>
      <c r="D81" s="13">
        <f t="shared" si="16"/>
        <v>814.71705586259645</v>
      </c>
      <c r="E81" s="16">
        <f t="shared" si="17"/>
        <v>39144.393330947853</v>
      </c>
      <c r="F81" s="17">
        <f t="shared" si="18"/>
        <v>22000</v>
      </c>
      <c r="G81" s="16">
        <f t="shared" si="19"/>
        <v>61144.393330947853</v>
      </c>
      <c r="H81" s="16">
        <f t="shared" si="20"/>
        <v>2261.5611356787776</v>
      </c>
    </row>
    <row r="82" spans="1:8" x14ac:dyDescent="0.2">
      <c r="A82" s="18">
        <v>26</v>
      </c>
      <c r="B82" s="13">
        <f t="shared" si="14"/>
        <v>1616.0570598233144</v>
      </c>
      <c r="C82" s="13">
        <f t="shared" si="15"/>
        <v>720</v>
      </c>
      <c r="D82" s="13">
        <f t="shared" si="16"/>
        <v>896.05705982331438</v>
      </c>
      <c r="E82" s="16">
        <f t="shared" si="17"/>
        <v>40556.546177488097</v>
      </c>
      <c r="F82" s="17">
        <f t="shared" si="18"/>
        <v>22880</v>
      </c>
      <c r="G82" s="16">
        <f t="shared" si="19"/>
        <v>63436.546177488097</v>
      </c>
      <c r="H82" s="16">
        <f t="shared" si="20"/>
        <v>2292.1528465402444</v>
      </c>
    </row>
    <row r="83" spans="1:8" x14ac:dyDescent="0.2">
      <c r="A83" s="18">
        <v>27</v>
      </c>
      <c r="B83" s="13">
        <f t="shared" si="14"/>
        <v>1699.1907643430709</v>
      </c>
      <c r="C83" s="13">
        <f t="shared" si="15"/>
        <v>720</v>
      </c>
      <c r="D83" s="13">
        <f t="shared" si="16"/>
        <v>979.1907643430709</v>
      </c>
      <c r="E83" s="16">
        <f t="shared" si="17"/>
        <v>41999.839658733865</v>
      </c>
      <c r="F83" s="17">
        <f t="shared" si="18"/>
        <v>23760</v>
      </c>
      <c r="G83" s="16">
        <f t="shared" si="19"/>
        <v>65759.839658733865</v>
      </c>
      <c r="H83" s="16">
        <f t="shared" si="20"/>
        <v>2323.2934812457679</v>
      </c>
    </row>
    <row r="84" spans="1:8" x14ac:dyDescent="0.2">
      <c r="A84" s="18">
        <v>28</v>
      </c>
      <c r="B84" s="13">
        <f t="shared" si="14"/>
        <v>1784.1503025602246</v>
      </c>
      <c r="C84" s="13">
        <f t="shared" si="15"/>
        <v>720</v>
      </c>
      <c r="D84" s="13">
        <f t="shared" si="16"/>
        <v>1064.1503025602246</v>
      </c>
      <c r="E84" s="16">
        <f t="shared" si="17"/>
        <v>43474.831641670564</v>
      </c>
      <c r="F84" s="17">
        <f t="shared" si="18"/>
        <v>24640</v>
      </c>
      <c r="G84" s="16">
        <f t="shared" si="19"/>
        <v>68114.831641670564</v>
      </c>
      <c r="H84" s="16">
        <f t="shared" si="20"/>
        <v>2354.9919829366991</v>
      </c>
    </row>
    <row r="85" spans="1:8" x14ac:dyDescent="0.2">
      <c r="A85" s="18">
        <v>29</v>
      </c>
      <c r="B85" s="13">
        <f t="shared" si="14"/>
        <v>1870.9683306758782</v>
      </c>
      <c r="C85" s="13">
        <f t="shared" si="15"/>
        <v>720</v>
      </c>
      <c r="D85" s="13">
        <f t="shared" si="16"/>
        <v>1150.9683306758782</v>
      </c>
      <c r="E85" s="16">
        <f t="shared" si="17"/>
        <v>44982.089074233998</v>
      </c>
      <c r="F85" s="17">
        <f t="shared" si="18"/>
        <v>25520</v>
      </c>
      <c r="G85" s="16">
        <f t="shared" si="19"/>
        <v>70502.089074233998</v>
      </c>
      <c r="H85" s="16">
        <f t="shared" si="20"/>
        <v>2387.2574325634341</v>
      </c>
    </row>
    <row r="86" spans="1:8" x14ac:dyDescent="0.2">
      <c r="A86" s="18">
        <v>30</v>
      </c>
      <c r="B86" s="13">
        <f t="shared" si="14"/>
        <v>1959.6780360096488</v>
      </c>
      <c r="C86" s="13">
        <f t="shared" si="15"/>
        <v>720</v>
      </c>
      <c r="D86" s="13">
        <f t="shared" si="16"/>
        <v>1239.6780360096488</v>
      </c>
      <c r="E86" s="16">
        <f t="shared" si="17"/>
        <v>46522.188125167515</v>
      </c>
      <c r="F86" s="17">
        <f t="shared" si="18"/>
        <v>26400</v>
      </c>
      <c r="G86" s="16">
        <f t="shared" si="19"/>
        <v>72922.188125167508</v>
      </c>
      <c r="H86" s="16">
        <f t="shared" si="20"/>
        <v>2420.0990509335097</v>
      </c>
    </row>
    <row r="87" spans="1:8" x14ac:dyDescent="0.2">
      <c r="A87" s="19" t="s">
        <v>101</v>
      </c>
      <c r="B87" s="20">
        <f>MES_PRICE</f>
        <v>2700</v>
      </c>
      <c r="C87" s="29" t="s">
        <v>102</v>
      </c>
      <c r="D87" s="29"/>
      <c r="E87" s="29"/>
      <c r="F87" s="29"/>
      <c r="G87" s="29"/>
      <c r="H87" s="29"/>
    </row>
  </sheetData>
  <mergeCells count="8">
    <mergeCell ref="C52:H52"/>
    <mergeCell ref="A54:H54"/>
    <mergeCell ref="C87:H87"/>
    <mergeCell ref="A1:H1"/>
    <mergeCell ref="A2:H2"/>
    <mergeCell ref="A4:H4"/>
    <mergeCell ref="C27:H27"/>
    <mergeCell ref="A29:H2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34" customWidth="1"/>
    <col min="2" max="3" width="20" customWidth="1"/>
    <col min="4" max="4" width="34" customWidth="1"/>
  </cols>
  <sheetData>
    <row r="1" spans="1:5" ht="18" x14ac:dyDescent="0.2">
      <c r="A1" s="26" t="s">
        <v>105</v>
      </c>
      <c r="B1" s="26"/>
      <c r="C1" s="26"/>
      <c r="D1" s="26"/>
    </row>
    <row r="3" spans="1:5" x14ac:dyDescent="0.2">
      <c r="A3" s="30" t="s">
        <v>106</v>
      </c>
      <c r="B3" s="30"/>
      <c r="C3" s="30"/>
      <c r="D3" s="30"/>
    </row>
    <row r="4" spans="1:5" x14ac:dyDescent="0.2">
      <c r="A4" t="s">
        <v>107</v>
      </c>
      <c r="B4" s="21">
        <f>1*TOM_HRS_PER_BED*WEEKS*(1+TOM_DIM_RET)^1</f>
        <v>99.000000000000014</v>
      </c>
      <c r="C4" t="s">
        <v>108</v>
      </c>
    </row>
    <row r="5" spans="1:5" x14ac:dyDescent="0.2">
      <c r="A5" t="s">
        <v>109</v>
      </c>
      <c r="B5" t="b">
        <f>ABS(B4-99)&lt;0.01</f>
        <v>1</v>
      </c>
    </row>
    <row r="7" spans="1:5" x14ac:dyDescent="0.2">
      <c r="A7" s="30" t="s">
        <v>110</v>
      </c>
      <c r="B7" s="30"/>
      <c r="C7" s="30"/>
      <c r="D7" s="30"/>
    </row>
    <row r="8" spans="1:5" x14ac:dyDescent="0.2">
      <c r="A8" t="s">
        <v>111</v>
      </c>
    </row>
    <row r="9" spans="1:5" x14ac:dyDescent="0.2">
      <c r="A9" t="s">
        <v>112</v>
      </c>
      <c r="B9" s="1" t="s">
        <v>113</v>
      </c>
    </row>
    <row r="10" spans="1:5" x14ac:dyDescent="0.2">
      <c r="A10" t="s">
        <v>114</v>
      </c>
      <c r="B10" s="1" t="s">
        <v>115</v>
      </c>
    </row>
    <row r="11" spans="1:5" x14ac:dyDescent="0.2">
      <c r="A11" t="s">
        <v>116</v>
      </c>
      <c r="B11" s="1" t="s">
        <v>117</v>
      </c>
    </row>
    <row r="13" spans="1:5" x14ac:dyDescent="0.2">
      <c r="A13" s="30" t="s">
        <v>118</v>
      </c>
      <c r="B13" s="30"/>
      <c r="C13" s="30"/>
      <c r="D13" s="30"/>
    </row>
    <row r="14" spans="1:5" x14ac:dyDescent="0.2">
      <c r="A14" s="2"/>
      <c r="B14" s="2" t="s">
        <v>119</v>
      </c>
      <c r="C14" s="2" t="s">
        <v>120</v>
      </c>
      <c r="D14" s="2" t="s">
        <v>121</v>
      </c>
      <c r="E14" s="2" t="s">
        <v>122</v>
      </c>
    </row>
    <row r="15" spans="1:5" x14ac:dyDescent="0.2">
      <c r="A15" s="2" t="s">
        <v>123</v>
      </c>
      <c r="B15" s="1" t="s">
        <v>124</v>
      </c>
      <c r="C15" s="1" t="s">
        <v>124</v>
      </c>
      <c r="D15" s="1" t="s">
        <v>124</v>
      </c>
      <c r="E15" s="1" t="s">
        <v>124</v>
      </c>
    </row>
    <row r="16" spans="1:5" x14ac:dyDescent="0.2">
      <c r="A16" s="2" t="s">
        <v>125</v>
      </c>
      <c r="B16" s="1" t="s">
        <v>124</v>
      </c>
      <c r="C16" s="1" t="s">
        <v>124</v>
      </c>
      <c r="D16" s="1" t="s">
        <v>124</v>
      </c>
      <c r="E16" s="1" t="s">
        <v>124</v>
      </c>
    </row>
    <row r="17" spans="1:4" x14ac:dyDescent="0.2">
      <c r="A17" t="s">
        <v>126</v>
      </c>
      <c r="B17" s="1" t="s">
        <v>127</v>
      </c>
    </row>
    <row r="19" spans="1:4" x14ac:dyDescent="0.2">
      <c r="A19" s="30" t="s">
        <v>128</v>
      </c>
      <c r="B19" s="30"/>
      <c r="C19" s="30"/>
      <c r="D19" s="30"/>
    </row>
    <row r="20" spans="1:4" x14ac:dyDescent="0.2">
      <c r="A20" s="4" t="s">
        <v>129</v>
      </c>
      <c r="B20" s="4" t="s">
        <v>130</v>
      </c>
      <c r="C20" s="4" t="s">
        <v>131</v>
      </c>
      <c r="D20" s="4" t="s">
        <v>132</v>
      </c>
    </row>
    <row r="21" spans="1:4" x14ac:dyDescent="0.2">
      <c r="A21" t="s">
        <v>133</v>
      </c>
      <c r="B21" s="22">
        <v>10</v>
      </c>
      <c r="C21" s="23">
        <f>OPT_TOM_BEDS</f>
        <v>10</v>
      </c>
      <c r="D21" t="b">
        <f>ABS(C21-B21)&lt;=0.5</f>
        <v>1</v>
      </c>
    </row>
    <row r="22" spans="1:4" x14ac:dyDescent="0.2">
      <c r="A22" t="s">
        <v>134</v>
      </c>
      <c r="B22" s="22">
        <v>20</v>
      </c>
      <c r="C22" s="23">
        <f>OPT_CAR_BEDS</f>
        <v>20</v>
      </c>
      <c r="D22" t="b">
        <f>ABS(C22-B22)&lt;=0.5</f>
        <v>1</v>
      </c>
    </row>
    <row r="23" spans="1:4" x14ac:dyDescent="0.2">
      <c r="A23" t="s">
        <v>135</v>
      </c>
      <c r="B23" s="22">
        <v>30</v>
      </c>
      <c r="C23" s="23">
        <f>OPT_MES_BEDS</f>
        <v>30</v>
      </c>
      <c r="D23" t="b">
        <f>ABS(C23-B23)&lt;=0.5</f>
        <v>1</v>
      </c>
    </row>
    <row r="24" spans="1:4" x14ac:dyDescent="0.2">
      <c r="A24" t="s">
        <v>136</v>
      </c>
      <c r="B24" s="24">
        <v>42762</v>
      </c>
      <c r="C24" s="25">
        <f>PROFIT</f>
        <v>42761.664682745002</v>
      </c>
      <c r="D24" t="b">
        <f>ABS(C24-B24)&lt;=5</f>
        <v>1</v>
      </c>
    </row>
    <row r="26" spans="1:4" x14ac:dyDescent="0.2">
      <c r="A26" s="29" t="s">
        <v>137</v>
      </c>
      <c r="B26" s="29"/>
      <c r="C26" s="29"/>
      <c r="D26" s="29"/>
    </row>
    <row r="28" spans="1:4" x14ac:dyDescent="0.2">
      <c r="A28" s="30" t="s">
        <v>138</v>
      </c>
      <c r="B28" s="30"/>
      <c r="C28" s="30"/>
      <c r="D28" s="30"/>
    </row>
    <row r="29" spans="1:4" x14ac:dyDescent="0.2">
      <c r="A29" s="29" t="s">
        <v>139</v>
      </c>
      <c r="B29" s="29"/>
      <c r="C29" s="29"/>
      <c r="D29" s="29"/>
    </row>
    <row r="31" spans="1:4" x14ac:dyDescent="0.2">
      <c r="A31" s="2" t="s">
        <v>140</v>
      </c>
    </row>
    <row r="32" spans="1:4" x14ac:dyDescent="0.2">
      <c r="A32" s="29" t="s">
        <v>141</v>
      </c>
      <c r="B32" s="29"/>
      <c r="C32" s="29"/>
      <c r="D32" s="29"/>
    </row>
  </sheetData>
  <mergeCells count="9">
    <mergeCell ref="A26:D26"/>
    <mergeCell ref="A28:D28"/>
    <mergeCell ref="A29:D29"/>
    <mergeCell ref="A32:D32"/>
    <mergeCell ref="A1:D1"/>
    <mergeCell ref="A3:D3"/>
    <mergeCell ref="A7:D7"/>
    <mergeCell ref="A13:D13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58</vt:i4>
      </vt:variant>
    </vt:vector>
  </HeadingPairs>
  <TitlesOfParts>
    <vt:vector size="62" baseType="lpstr">
      <vt:lpstr>Inputs</vt:lpstr>
      <vt:lpstr>Optimization</vt:lpstr>
      <vt:lpstr>Marginal-Cost Schedules</vt:lpstr>
      <vt:lpstr>Checks</vt:lpstr>
      <vt:lpstr>BLENDED_RATE</vt:lpstr>
      <vt:lpstr>CAR_DIM_RET</vt:lpstr>
      <vt:lpstr>CAR_FERT</vt:lpstr>
      <vt:lpstr>CAR_FERT_COST</vt:lpstr>
      <vt:lpstr>CAR_HRS_PER_BED</vt:lpstr>
      <vt:lpstr>CAR_LABOR_HRS</vt:lpstr>
      <vt:lpstr>CAR_MAX_BEDS</vt:lpstr>
      <vt:lpstr>CAR_PRICE</vt:lpstr>
      <vt:lpstr>CAR_REVENUE</vt:lpstr>
      <vt:lpstr>CHECK_CAR_CAP</vt:lpstr>
      <vt:lpstr>CHECK_MES_CAP</vt:lpstr>
      <vt:lpstr>CHECK_NONNEG_INT</vt:lpstr>
      <vt:lpstr>CHECK_TOM_CAP</vt:lpstr>
      <vt:lpstr>CHECK_TOTAL_BEDS</vt:lpstr>
      <vt:lpstr>CHECK_WORKERS</vt:lpstr>
      <vt:lpstr>FARM_AVAIL_HRS</vt:lpstr>
      <vt:lpstr>FARM_HRS_USED</vt:lpstr>
      <vt:lpstr>FARM_RATE</vt:lpstr>
      <vt:lpstr>FARM_SEAS_SAL</vt:lpstr>
      <vt:lpstr>FARM_SHARE_FIELD_TIME</vt:lpstr>
      <vt:lpstr>FIX_SEAS_COST</vt:lpstr>
      <vt:lpstr>MARGINAL_COST_CAR</vt:lpstr>
      <vt:lpstr>MARGINAL_COST_MES</vt:lpstr>
      <vt:lpstr>MARGINAL_COST_TOM</vt:lpstr>
      <vt:lpstr>MAX_TEMP_WORK</vt:lpstr>
      <vt:lpstr>MES_DIM_RET</vt:lpstr>
      <vt:lpstr>MES_FERT</vt:lpstr>
      <vt:lpstr>MES_FERT_COST</vt:lpstr>
      <vt:lpstr>MES_HRS_PER_BED</vt:lpstr>
      <vt:lpstr>MES_LABOR_HRS</vt:lpstr>
      <vt:lpstr>MES_MAX_BEDS</vt:lpstr>
      <vt:lpstr>MES_PRICE</vt:lpstr>
      <vt:lpstr>MES_REVENUE</vt:lpstr>
      <vt:lpstr>OPT_CAR_BEDS</vt:lpstr>
      <vt:lpstr>OPT_MES_BEDS</vt:lpstr>
      <vt:lpstr>OPT_TOM_BEDS</vt:lpstr>
      <vt:lpstr>PROFIT</vt:lpstr>
      <vt:lpstr>REQ_WORKER</vt:lpstr>
      <vt:lpstr>TEMP_HRS_USED</vt:lpstr>
      <vt:lpstr>TEMP_RATE</vt:lpstr>
      <vt:lpstr>TEMP_WORK_CAP</vt:lpstr>
      <vt:lpstr>TEMP_WORK_SEAS_SAL</vt:lpstr>
      <vt:lpstr>TOM_DIM_RET</vt:lpstr>
      <vt:lpstr>TOM_FERT</vt:lpstr>
      <vt:lpstr>TOM_FERT_COST</vt:lpstr>
      <vt:lpstr>TOM_HRS_PER_BED</vt:lpstr>
      <vt:lpstr>TOM_LABOR_HRS</vt:lpstr>
      <vt:lpstr>TOM_MAX_BEDS</vt:lpstr>
      <vt:lpstr>TOM_PRICE</vt:lpstr>
      <vt:lpstr>TOM_REVENUE</vt:lpstr>
      <vt:lpstr>TOT_BED_CAP</vt:lpstr>
      <vt:lpstr>TOTAL_COST</vt:lpstr>
      <vt:lpstr>TOTAL_FERT_COST</vt:lpstr>
      <vt:lpstr>TOTAL_LABOR_DOLLARS</vt:lpstr>
      <vt:lpstr>TOTAL_LABOR_HRS</vt:lpstr>
      <vt:lpstr>TOTAL_REVENUE</vt:lpstr>
      <vt:lpstr>UNUSED_BEDS</vt:lpstr>
      <vt:lpstr>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Jasmin Garcia</cp:lastModifiedBy>
  <cp:revision>0</cp:revision>
  <dcterms:created xsi:type="dcterms:W3CDTF">2026-09-12T05:49:22Z</dcterms:created>
  <dcterms:modified xsi:type="dcterms:W3CDTF">2026-09-20T05:26:13Z</dcterms:modified>
  <dc:language>en-US</dc:language>
</cp:coreProperties>
</file>